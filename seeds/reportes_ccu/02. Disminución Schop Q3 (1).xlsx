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ilar/Documents/"/>
    </mc:Choice>
  </mc:AlternateContent>
  <xr:revisionPtr revIDLastSave="0" documentId="8_{D388E9E8-BFC3-D041-BBAA-596A4E13DD36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Modificación" sheetId="3" r:id="rId1"/>
    <sheet name="Término de Contrato" sheetId="2" r:id="rId2"/>
  </sheets>
  <externalReferences>
    <externalReference r:id="rId3"/>
    <externalReference r:id="rId4"/>
  </externalReferences>
  <definedNames>
    <definedName name="_xlnm._FilterDatabase" localSheetId="0" hidden="1">Modificación!$A$1:$I$48</definedName>
    <definedName name="_xlnm._FilterDatabase" localSheetId="1" hidden="1">'Término de Contrato'!$A$1:$I$159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2" l="1"/>
  <c r="I149" i="2"/>
  <c r="I144" i="2"/>
  <c r="I121" i="2"/>
  <c r="I119" i="2"/>
  <c r="I99" i="2"/>
  <c r="I96" i="2"/>
</calcChain>
</file>

<file path=xl/sharedStrings.xml><?xml version="1.0" encoding="utf-8"?>
<sst xmlns="http://schemas.openxmlformats.org/spreadsheetml/2006/main" count="1651" uniqueCount="823">
  <si>
    <t>Rut</t>
  </si>
  <si>
    <t>Id Cliente</t>
  </si>
  <si>
    <t>Razón Social</t>
  </si>
  <si>
    <t>Mes Cambio</t>
  </si>
  <si>
    <t>Razón de Disminución</t>
  </si>
  <si>
    <t xml:space="preserve">ESTABLECIMIENTOS BARILOCHE S.A               </t>
  </si>
  <si>
    <t xml:space="preserve">INVERSIONES ALFARO Y DEL VALLE SPA           </t>
  </si>
  <si>
    <t xml:space="preserve">INV HM SPA                                   </t>
  </si>
  <si>
    <t xml:space="preserve">BRASAS CURICO SPA                            </t>
  </si>
  <si>
    <t>77535730-4</t>
  </si>
  <si>
    <t>76036595-5</t>
  </si>
  <si>
    <t>77907336-K</t>
  </si>
  <si>
    <t>77497666-3</t>
  </si>
  <si>
    <t>77440235-7</t>
  </si>
  <si>
    <t>52003014-K</t>
  </si>
  <si>
    <t>Cambio de razón Social</t>
  </si>
  <si>
    <t>Cliente con término de giro, se retiró 100% de activos</t>
  </si>
  <si>
    <t>Cliente perdió patente de alcoholes</t>
  </si>
  <si>
    <t>Cliente Fugado</t>
  </si>
  <si>
    <t>Cliente instaló maquina propia y/o de la competencia y solicitó retiro de las nuestras</t>
  </si>
  <si>
    <t>Cliente decidió dejar de trabajar el formato schop</t>
  </si>
  <si>
    <t>Cliente con baja rotación, solicitó disminuir salidas</t>
  </si>
  <si>
    <t>Regularización en sistema, cliente contaba con menos salidas de las indicadas</t>
  </si>
  <si>
    <t>Cambio de equipo</t>
  </si>
  <si>
    <t>Cierre de local</t>
  </si>
  <si>
    <t>Nombre de Fantasía</t>
  </si>
  <si>
    <t>Dirección</t>
  </si>
  <si>
    <t>Comuna</t>
  </si>
  <si>
    <t>Región</t>
  </si>
  <si>
    <t>VIÑA DEL MAR</t>
  </si>
  <si>
    <t>RANCAGUA</t>
  </si>
  <si>
    <t>CONCEPCION</t>
  </si>
  <si>
    <t>BARILOCHE</t>
  </si>
  <si>
    <t>SANTIAGO</t>
  </si>
  <si>
    <t>PROVIDENCIA</t>
  </si>
  <si>
    <t>PUDAHUEL</t>
  </si>
  <si>
    <t>CERRILLOS</t>
  </si>
  <si>
    <t>QUILICURA</t>
  </si>
  <si>
    <t>PUENTE ALTO</t>
  </si>
  <si>
    <t>ARICA</t>
  </si>
  <si>
    <t>CALAMA</t>
  </si>
  <si>
    <t>ANTOFAGASTA</t>
  </si>
  <si>
    <t>LINARES</t>
  </si>
  <si>
    <t>VILLARRICA</t>
  </si>
  <si>
    <t>VALDIVIA</t>
  </si>
  <si>
    <t>QUILLOTA</t>
  </si>
  <si>
    <t>LA SERENA</t>
  </si>
  <si>
    <t>PUERTO VARAS</t>
  </si>
  <si>
    <t>OSORNO</t>
  </si>
  <si>
    <t>ÑUÑOA</t>
  </si>
  <si>
    <t>CALERA DE TANGO</t>
  </si>
  <si>
    <t>HUECHURABA</t>
  </si>
  <si>
    <t>VITACURA</t>
  </si>
  <si>
    <t>RECOLETA</t>
  </si>
  <si>
    <t>LAS CONDES</t>
  </si>
  <si>
    <t>SAN BERNARDO</t>
  </si>
  <si>
    <t>IQUIQUE</t>
  </si>
  <si>
    <t>ALTO HOSPICIO</t>
  </si>
  <si>
    <t>COPIAPO</t>
  </si>
  <si>
    <t>CONSTITUCION</t>
  </si>
  <si>
    <t>TALCA</t>
  </si>
  <si>
    <t>CURICO</t>
  </si>
  <si>
    <t>CHILLAN</t>
  </si>
  <si>
    <t>LOS ANGELES</t>
  </si>
  <si>
    <t>PUCON</t>
  </si>
  <si>
    <t>TEMUCO</t>
  </si>
  <si>
    <t>PANGUIPULLE</t>
  </si>
  <si>
    <t>QUELLON</t>
  </si>
  <si>
    <t>PUERTO MONTT</t>
  </si>
  <si>
    <t>ANCUD</t>
  </si>
  <si>
    <t>LA UNION</t>
  </si>
  <si>
    <t>QUILPUE</t>
  </si>
  <si>
    <t>VALPARAISO</t>
  </si>
  <si>
    <t>COQUIMBO</t>
  </si>
  <si>
    <t>OVALLE</t>
  </si>
  <si>
    <t>MACHALI</t>
  </si>
  <si>
    <t>SAN ANTONIO</t>
  </si>
  <si>
    <t>LO BARNECHEA</t>
  </si>
  <si>
    <t>LA REINA</t>
  </si>
  <si>
    <t>COLINA</t>
  </si>
  <si>
    <t>TALCAHUANO</t>
  </si>
  <si>
    <t>Metropolitana</t>
  </si>
  <si>
    <t>De Tarapacá</t>
  </si>
  <si>
    <t>De Antofagasta</t>
  </si>
  <si>
    <t>De Atacama</t>
  </si>
  <si>
    <t>Del Maule</t>
  </si>
  <si>
    <t>Del Ñuble</t>
  </si>
  <si>
    <t>Del Bíobío</t>
  </si>
  <si>
    <t>De La Araucanía</t>
  </si>
  <si>
    <t>De Los Lagos</t>
  </si>
  <si>
    <t>De Los Ríos</t>
  </si>
  <si>
    <t>De Valparaíso</t>
  </si>
  <si>
    <t>De Coquimbo</t>
  </si>
  <si>
    <t>Del Libertador B. O'Higgins</t>
  </si>
  <si>
    <t>77171188-K</t>
  </si>
  <si>
    <t>76956738-0</t>
  </si>
  <si>
    <t>76593414-1</t>
  </si>
  <si>
    <t>77793680-8</t>
  </si>
  <si>
    <t>17133262-1</t>
  </si>
  <si>
    <t>11818805-5</t>
  </si>
  <si>
    <t>77313287-9</t>
  </si>
  <si>
    <t>76497535-9</t>
  </si>
  <si>
    <t>17437988-2</t>
  </si>
  <si>
    <t>76538039-1</t>
  </si>
  <si>
    <t>76132791-7</t>
  </si>
  <si>
    <t>76925469-2</t>
  </si>
  <si>
    <t>76008407-7</t>
  </si>
  <si>
    <t>77225686-8</t>
  </si>
  <si>
    <t>76359548-K</t>
  </si>
  <si>
    <t>76802159-7</t>
  </si>
  <si>
    <t>18225427-4</t>
  </si>
  <si>
    <t>76579177-4</t>
  </si>
  <si>
    <t>77941848-0</t>
  </si>
  <si>
    <t>77917029-2</t>
  </si>
  <si>
    <t>12288902-5</t>
  </si>
  <si>
    <t>77512476-8</t>
  </si>
  <si>
    <t>77022370-9</t>
  </si>
  <si>
    <t>17008648-1</t>
  </si>
  <si>
    <t>77537199-4</t>
  </si>
  <si>
    <t>77896954-8</t>
  </si>
  <si>
    <t>77321475-1</t>
  </si>
  <si>
    <t>77538254-6</t>
  </si>
  <si>
    <t>77884659-4</t>
  </si>
  <si>
    <t>76378577-7</t>
  </si>
  <si>
    <t>96538740-4</t>
  </si>
  <si>
    <t>77072337-K</t>
  </si>
  <si>
    <t>77587121-0</t>
  </si>
  <si>
    <t>15234259-4</t>
  </si>
  <si>
    <t>76383496-4</t>
  </si>
  <si>
    <t>78740840-0</t>
  </si>
  <si>
    <t>77264662-3</t>
  </si>
  <si>
    <t>77854866-6</t>
  </si>
  <si>
    <t>13544958-K</t>
  </si>
  <si>
    <t>77681303-6</t>
  </si>
  <si>
    <t>77254769-2</t>
  </si>
  <si>
    <t>77646108-3</t>
  </si>
  <si>
    <t>76177887-0</t>
  </si>
  <si>
    <t>77351997-8</t>
  </si>
  <si>
    <t>16361610-6</t>
  </si>
  <si>
    <t>11382550-2</t>
  </si>
  <si>
    <t>3148464-2</t>
  </si>
  <si>
    <t>76719401-3</t>
  </si>
  <si>
    <t>76451988-4</t>
  </si>
  <si>
    <t>17524656-8</t>
  </si>
  <si>
    <t>76751234-1</t>
  </si>
  <si>
    <t>77872201-1</t>
  </si>
  <si>
    <t>77738264-0</t>
  </si>
  <si>
    <t>77210185-6</t>
  </si>
  <si>
    <t>76776406-5</t>
  </si>
  <si>
    <t>94623000-6</t>
  </si>
  <si>
    <t>76388134-2</t>
  </si>
  <si>
    <t>76863087-9</t>
  </si>
  <si>
    <t>77866663-4</t>
  </si>
  <si>
    <t>76822932-5</t>
  </si>
  <si>
    <t>76678225-6</t>
  </si>
  <si>
    <t>77490661-4</t>
  </si>
  <si>
    <t>79729170-6</t>
  </si>
  <si>
    <t>77009447-K</t>
  </si>
  <si>
    <t>96782240-K</t>
  </si>
  <si>
    <t>12808604-8</t>
  </si>
  <si>
    <t>76041638-K</t>
  </si>
  <si>
    <t>7677283-5</t>
  </si>
  <si>
    <t>15482524-K</t>
  </si>
  <si>
    <t>77801397-5</t>
  </si>
  <si>
    <t>77171815-9</t>
  </si>
  <si>
    <t>77834519-6</t>
  </si>
  <si>
    <t>77738866-5</t>
  </si>
  <si>
    <t>76117899-7</t>
  </si>
  <si>
    <t>76943436-4</t>
  </si>
  <si>
    <t>13586043-3</t>
  </si>
  <si>
    <t>77047318-7</t>
  </si>
  <si>
    <t>14438467-9</t>
  </si>
  <si>
    <t>10463486-9</t>
  </si>
  <si>
    <t>76036774-5</t>
  </si>
  <si>
    <t>76452583-3</t>
  </si>
  <si>
    <t>77441868-7</t>
  </si>
  <si>
    <t>76854913-3</t>
  </si>
  <si>
    <t>7423520-4</t>
  </si>
  <si>
    <t>76447622-0</t>
  </si>
  <si>
    <t>77965358-7</t>
  </si>
  <si>
    <t>77502727-4</t>
  </si>
  <si>
    <t>77251301-1</t>
  </si>
  <si>
    <t>19336029-7</t>
  </si>
  <si>
    <t>76423871-0</t>
  </si>
  <si>
    <t>96785310-0</t>
  </si>
  <si>
    <t>77073564-5</t>
  </si>
  <si>
    <t>11181625-5</t>
  </si>
  <si>
    <t>78024071-7</t>
  </si>
  <si>
    <t>77476531-K</t>
  </si>
  <si>
    <t>6416298-5</t>
  </si>
  <si>
    <t>76246742-9</t>
  </si>
  <si>
    <t>77392488-0</t>
  </si>
  <si>
    <t>14545520-0</t>
  </si>
  <si>
    <t>76168037-4</t>
  </si>
  <si>
    <t>76727684-2</t>
  </si>
  <si>
    <t>9148784-5</t>
  </si>
  <si>
    <t>78437630-3</t>
  </si>
  <si>
    <t>51031170-1</t>
  </si>
  <si>
    <t>76328754-8</t>
  </si>
  <si>
    <t>77290617-K</t>
  </si>
  <si>
    <t>77786272-3</t>
  </si>
  <si>
    <t>76560763-9</t>
  </si>
  <si>
    <t>76022184-8</t>
  </si>
  <si>
    <t>77905228-1</t>
  </si>
  <si>
    <t>7295570-6</t>
  </si>
  <si>
    <t>78912600-3</t>
  </si>
  <si>
    <t>77295308-9</t>
  </si>
  <si>
    <t>15463548-3</t>
  </si>
  <si>
    <t>77371043-0</t>
  </si>
  <si>
    <t>77740733-3</t>
  </si>
  <si>
    <t>77944415-5</t>
  </si>
  <si>
    <t>6573473-7</t>
  </si>
  <si>
    <t>13479304-K</t>
  </si>
  <si>
    <t>77141367-6</t>
  </si>
  <si>
    <t>12549750-0</t>
  </si>
  <si>
    <t>16497560-6</t>
  </si>
  <si>
    <t>77345345-4</t>
  </si>
  <si>
    <t>77035773-K</t>
  </si>
  <si>
    <t>99504960-0</t>
  </si>
  <si>
    <t>76867908-8</t>
  </si>
  <si>
    <t>77408468-1</t>
  </si>
  <si>
    <t>96841280-9</t>
  </si>
  <si>
    <t>8978553-7</t>
  </si>
  <si>
    <t>78017063-8</t>
  </si>
  <si>
    <t>76036339-1</t>
  </si>
  <si>
    <t>13118645-2</t>
  </si>
  <si>
    <t>77510669-7</t>
  </si>
  <si>
    <t>76093819-K</t>
  </si>
  <si>
    <t>8383324-6</t>
  </si>
  <si>
    <t>16768925-6</t>
  </si>
  <si>
    <t>77497222-6</t>
  </si>
  <si>
    <t>76221419-9</t>
  </si>
  <si>
    <t>6515091-3</t>
  </si>
  <si>
    <t>10185475-2</t>
  </si>
  <si>
    <t>76981708-5</t>
  </si>
  <si>
    <t>76726140-3</t>
  </si>
  <si>
    <t>10918348-2</t>
  </si>
  <si>
    <t>77181525-1</t>
  </si>
  <si>
    <t>77325875-9</t>
  </si>
  <si>
    <t>77124751-2</t>
  </si>
  <si>
    <t>78137910-7</t>
  </si>
  <si>
    <t>77682771-1</t>
  </si>
  <si>
    <t>76658908-1</t>
  </si>
  <si>
    <t>76283209-7</t>
  </si>
  <si>
    <t>78077621-8</t>
  </si>
  <si>
    <t xml:space="preserve">SERVICIOS GASTRONOMICOS MAZAL LIMITADA       </t>
  </si>
  <si>
    <t xml:space="preserve">INVERSIONES ALMIBAR SPA                      </t>
  </si>
  <si>
    <t xml:space="preserve">SIMON CARRERA EIRL                           </t>
  </si>
  <si>
    <t xml:space="preserve">SOC.COM. PATAGONIA LTDA                      </t>
  </si>
  <si>
    <t xml:space="preserve">RODRIGO ROMERO DELGADO                       </t>
  </si>
  <si>
    <t xml:space="preserve">CIFUENTES BUGUEÑOS ALEJANDRA                 </t>
  </si>
  <si>
    <t xml:space="preserve">RUCARAY SPORT SPA                            </t>
  </si>
  <si>
    <t xml:space="preserve">THE GRILL BOX SPA                            </t>
  </si>
  <si>
    <t xml:space="preserve">ROBERT  ARIAS MONTIEL                        </t>
  </si>
  <si>
    <t xml:space="preserve">INVERSIONES NANCY HUERTA QUINTERO SPA        </t>
  </si>
  <si>
    <t xml:space="preserve">FRANCISCO ACUNA SANDOVAL REST E.I.R.L        </t>
  </si>
  <si>
    <t xml:space="preserve">SOCIEDAD DE INVERSIONES Y SERVICIOS ESFERICA </t>
  </si>
  <si>
    <t xml:space="preserve">ON THE ROCK LIMITADA                         </t>
  </si>
  <si>
    <t xml:space="preserve">RINCON DE JANO SPA                           </t>
  </si>
  <si>
    <t xml:space="preserve">SOCIEDAD LICAREL SPA                         </t>
  </si>
  <si>
    <t xml:space="preserve">SERVICIOS GASTRONOMICOS ELEVEN RESTO BAR SPA </t>
  </si>
  <si>
    <t xml:space="preserve">MARIA CATALINA CONTRERAS GARCIA              </t>
  </si>
  <si>
    <t xml:space="preserve">FRANCISCA ROJAS PÉREZ SERV ALIMENTARIOS      </t>
  </si>
  <si>
    <t xml:space="preserve">SERVICIOS GASTRONOMICO ALBERTA &amp; MATILDE SPA </t>
  </si>
  <si>
    <t xml:space="preserve">RESTAURANTE LOS AGUSTOS SPA                  </t>
  </si>
  <si>
    <t xml:space="preserve">DOMINGO ANGEL PENA PALOMERA                  </t>
  </si>
  <si>
    <t xml:space="preserve">PANAFOOD SERVICES SPA                        </t>
  </si>
  <si>
    <t xml:space="preserve">SANTO REMEDIO LTDA                           </t>
  </si>
  <si>
    <t xml:space="preserve">BRAULIO A. ARAVENA MOYA                      </t>
  </si>
  <si>
    <t xml:space="preserve">RESTAURANT PERU PASION SPA                   </t>
  </si>
  <si>
    <t xml:space="preserve">SOC COM DOMINGA SPA                          </t>
  </si>
  <si>
    <t xml:space="preserve">INVERSIONES NAVARRETE SPA                    </t>
  </si>
  <si>
    <t xml:space="preserve">RESTAURANT DI LUI SPA                        </t>
  </si>
  <si>
    <t xml:space="preserve">REST EL REY                                  </t>
  </si>
  <si>
    <t xml:space="preserve">INV.MARTINEZ TORRES LTDA                     </t>
  </si>
  <si>
    <t xml:space="preserve">INVERSIONES BAUM LIMITADA                    </t>
  </si>
  <si>
    <t xml:space="preserve">ANCONA GASTRONOMIA SPA                       </t>
  </si>
  <si>
    <t xml:space="preserve">IMPORTA SOLUCIONES SPA                       </t>
  </si>
  <si>
    <t xml:space="preserve">GUSTAVO RIVERA RIVEROS                       </t>
  </si>
  <si>
    <t xml:space="preserve">SWEETT AND GOURMET EIRL                      </t>
  </si>
  <si>
    <t xml:space="preserve">RAP NUEVE S.A.                               </t>
  </si>
  <si>
    <t xml:space="preserve">MERCADO ULLOA PEÑA LTDA                      </t>
  </si>
  <si>
    <t xml:space="preserve">SOCIEDAD INVERSIONES ALMA SPA                </t>
  </si>
  <si>
    <t xml:space="preserve">ALVARO PALOMINO PEREZ                        </t>
  </si>
  <si>
    <t xml:space="preserve">SAMPIERI SPA                                 </t>
  </si>
  <si>
    <t xml:space="preserve">LOS PINEDA S.P.A RESTAURANT                  </t>
  </si>
  <si>
    <t xml:space="preserve">SOC. GASTRONOMICA TRUJILLO Y CASTRO LTDA.    </t>
  </si>
  <si>
    <t xml:space="preserve">GASTRONOMICA DA ROBERTO LTDA                 </t>
  </si>
  <si>
    <t xml:space="preserve">COME RIKO SPA                                </t>
  </si>
  <si>
    <t xml:space="preserve">CESAR OSSIO GARCIA                           </t>
  </si>
  <si>
    <t xml:space="preserve">JUANA MARGARITA FLORES ROJAS                 </t>
  </si>
  <si>
    <t xml:space="preserve">HADA HIDALGO SOLAR                           </t>
  </si>
  <si>
    <t>SERVICIO DE ESTACIONAMIENTO MAR BAR &amp; SANG SP</t>
  </si>
  <si>
    <t xml:space="preserve">SOCIEDAD COMERCIAL LA TAQUILLA SPA           </t>
  </si>
  <si>
    <t xml:space="preserve">CARLA ROJAS RODRIGUEZ                        </t>
  </si>
  <si>
    <t xml:space="preserve">HOTEL BOUTIQUE CONCEPTO CULINARIO            </t>
  </si>
  <si>
    <t xml:space="preserve">INVERSIONES EMBORA LIMITADA                  </t>
  </si>
  <si>
    <t xml:space="preserve">ENTER GROUP SPA                              </t>
  </si>
  <si>
    <t xml:space="preserve">QUEEN RESTOBAR CCP LIMITADA                  </t>
  </si>
  <si>
    <t xml:space="preserve">GRUPO R Y R SPA                              </t>
  </si>
  <si>
    <t xml:space="preserve">SODEXO CHILE SPA                             </t>
  </si>
  <si>
    <t xml:space="preserve">SOCIEDAD GASTRONOMICA KAI LTDA.              </t>
  </si>
  <si>
    <t xml:space="preserve">INVERSIONES CABALLITO SPA                    </t>
  </si>
  <si>
    <t xml:space="preserve">SOCIEDAD DE INVERSIONES CERP SPA             </t>
  </si>
  <si>
    <t xml:space="preserve">LOPARDO SPA                                  </t>
  </si>
  <si>
    <t xml:space="preserve">BOCACALLE SPA                                </t>
  </si>
  <si>
    <t xml:space="preserve">MIRAFLORES S.A                               </t>
  </si>
  <si>
    <t xml:space="preserve">DEL HIERRO E HIJO LTDA.                      </t>
  </si>
  <si>
    <t xml:space="preserve">GASTRONOMICA NICCOLA SPA                     </t>
  </si>
  <si>
    <t xml:space="preserve">RAP DOCE S.A.                                </t>
  </si>
  <si>
    <t xml:space="preserve">SOLANGE SAAVEDRA SEPULVEDA                   </t>
  </si>
  <si>
    <t xml:space="preserve">SOC COM LAS PENAS DE ARI                     </t>
  </si>
  <si>
    <t xml:space="preserve">EMILIA NEGUÉL VENEGAS                        </t>
  </si>
  <si>
    <t xml:space="preserve">KAREN RAMIREZ GOMEZ                          </t>
  </si>
  <si>
    <t xml:space="preserve">CARAVANA SPA                                 </t>
  </si>
  <si>
    <t xml:space="preserve">BIJOUX CHILE SPA                             </t>
  </si>
  <si>
    <t xml:space="preserve">SERVICIOS GASTRONOMICOS REGIONAL LTDA        </t>
  </si>
  <si>
    <t xml:space="preserve">INVERSIONES PACIFICO AUSTRAL SPA             </t>
  </si>
  <si>
    <t xml:space="preserve">SOCIEDAD GASTRONOMICA TANUKI LTDA            </t>
  </si>
  <si>
    <t>HOSTAL Y SERV. TURÍSTICOS PETER JOHANNES EIRL</t>
  </si>
  <si>
    <t xml:space="preserve">SANDRA NEUTOPAN MARINAO                      </t>
  </si>
  <si>
    <t xml:space="preserve">COLIPE AEDO S.P.A.                           </t>
  </si>
  <si>
    <t xml:space="preserve">FLOR BELLA INES PINTO SALAS                  </t>
  </si>
  <si>
    <t xml:space="preserve">ANTONIO EDEMAR MASSA SANHUEZA                </t>
  </si>
  <si>
    <t xml:space="preserve">COMERCIAL MONTE LAGO SPA                     </t>
  </si>
  <si>
    <t xml:space="preserve">R MAN PRODUCCIONES E.I.R.L                   </t>
  </si>
  <si>
    <t xml:space="preserve">GASTRONOMIA ALI PEREZ LOPEZ E.I.R.L.         </t>
  </si>
  <si>
    <t xml:space="preserve">INVERSIONES EL PATIO SPA                     </t>
  </si>
  <si>
    <t xml:space="preserve">JUAN VARAS HUGA                              </t>
  </si>
  <si>
    <t xml:space="preserve">CQ SPA                                       </t>
  </si>
  <si>
    <t xml:space="preserve">BARFF Y MARIN LIMITADA                       </t>
  </si>
  <si>
    <t>INVERSIONES POLANCO TORRES Y ROMERO ASOCIADOS</t>
  </si>
  <si>
    <t xml:space="preserve">PIZZERIA MARIA UBERLINDA MEDINA BURGOS EIRL  </t>
  </si>
  <si>
    <t xml:space="preserve">JAVIERA MARTIN SILVA                         </t>
  </si>
  <si>
    <t xml:space="preserve">DE LA CRUZ E HIJO LIMITADA                   </t>
  </si>
  <si>
    <t xml:space="preserve">RAP TRECE S A                                </t>
  </si>
  <si>
    <t xml:space="preserve">RESTOBAR SCHOP 18 RAFAEL BARBOZA VALDEZ      </t>
  </si>
  <si>
    <t xml:space="preserve">FRANCISCO SALVATORRE BRUNA PIZARRO           </t>
  </si>
  <si>
    <t xml:space="preserve">SOCIEDAD SALAS COLQUE SPA                    </t>
  </si>
  <si>
    <t xml:space="preserve">LATINAS SPA                                  </t>
  </si>
  <si>
    <t xml:space="preserve">LUIS MUNOZ LERIS                             </t>
  </si>
  <si>
    <t xml:space="preserve">ROCA SPA                                     </t>
  </si>
  <si>
    <t xml:space="preserve">ALIMENTOS CAMACHO COLMENARES SPA             </t>
  </si>
  <si>
    <t xml:space="preserve">CARLOS MAURICIO AVILA OLGUIN                 </t>
  </si>
  <si>
    <t xml:space="preserve">GASTRONOMÍA EL RINCÓN DE GREDA LIMITADA      </t>
  </si>
  <si>
    <t xml:space="preserve">SABOR MEDITERRANEO SPA                       </t>
  </si>
  <si>
    <t xml:space="preserve">ANDRES GUZMAN DRAGO                          </t>
  </si>
  <si>
    <t xml:space="preserve">AREAS CHILE LTDA (CELLAR BEER)               </t>
  </si>
  <si>
    <t xml:space="preserve">ALIMENTOS ROASTY POINT LTDA                  </t>
  </si>
  <si>
    <t xml:space="preserve">VICTOR ASTORGA CARDOZA Y OTRO                </t>
  </si>
  <si>
    <t xml:space="preserve">F.S GLADYS HEREDIA SEPULVEDA E.I.R.L.        </t>
  </si>
  <si>
    <t xml:space="preserve">ESPACIOS GASTRONOMICOS BJS LIMITADA          </t>
  </si>
  <si>
    <t xml:space="preserve">COMPLEJO TURÍSTICO Y HOSTERÍA EL TUCAN SPA   </t>
  </si>
  <si>
    <t xml:space="preserve">ALIMENTOS Y SERVICIOS NYC SPA                </t>
  </si>
  <si>
    <t xml:space="preserve">SOCIEDAD NAAL LTDA                           </t>
  </si>
  <si>
    <t xml:space="preserve">SAN IGNACIO SPA                              </t>
  </si>
  <si>
    <t xml:space="preserve">JUAN FRANCISCO RECABARREN DURAN              </t>
  </si>
  <si>
    <t xml:space="preserve">RESTAURANTE EL COLONIAL LTDA                 </t>
  </si>
  <si>
    <t xml:space="preserve">RESTOBAR MANUEL QUILODRAN HEWITT EIRL        </t>
  </si>
  <si>
    <t xml:space="preserve">CAROLINA GONZALEZ DURAN                      </t>
  </si>
  <si>
    <t xml:space="preserve">ALIMENTOS INFINITY SPA                       </t>
  </si>
  <si>
    <t xml:space="preserve">SOC. GAST. PANCHO LOCO SPA                   </t>
  </si>
  <si>
    <t xml:space="preserve">CENTRAL PUB SPA                              </t>
  </si>
  <si>
    <t xml:space="preserve">SEPULVEDA RAMIREZ ZENOBIA                    </t>
  </si>
  <si>
    <t xml:space="preserve">CECILIA FUENTES VEGA                         </t>
  </si>
  <si>
    <t xml:space="preserve">INV GESECDA SPA                              </t>
  </si>
  <si>
    <t xml:space="preserve">HUGO ITURRA                                  </t>
  </si>
  <si>
    <t xml:space="preserve">MARCELO MARCOS ZARZAR ESPINOZA               </t>
  </si>
  <si>
    <t xml:space="preserve">SERVICIOS GASTRONOMICOS AEREO SPA            </t>
  </si>
  <si>
    <t xml:space="preserve">VOLCANO SPA                                  </t>
  </si>
  <si>
    <t xml:space="preserve">RAP VEINTICINCO S.A                          </t>
  </si>
  <si>
    <t>REST Y EXPENDIDO DE CERVEZA PABLO MEDINA EIRL</t>
  </si>
  <si>
    <t xml:space="preserve">GRUPO PATIO SPA                              </t>
  </si>
  <si>
    <t xml:space="preserve">SERVICIO HOTELEROS Y TURISTICO               </t>
  </si>
  <si>
    <t xml:space="preserve">MARIA SOLEDAD CUMSILLE VARGAS                </t>
  </si>
  <si>
    <t xml:space="preserve">SALLENDE SPA                                 </t>
  </si>
  <si>
    <t xml:space="preserve">ALIMENTOS LONQUEN LTDA.                      </t>
  </si>
  <si>
    <t xml:space="preserve">CRISTIAN SANDOVAL CASTRO                     </t>
  </si>
  <si>
    <t xml:space="preserve">INVERSIONES GREAL SPA                        </t>
  </si>
  <si>
    <t xml:space="preserve">SOC ZUÑIGA HERNANDEZ LTDA                    </t>
  </si>
  <si>
    <t xml:space="preserve">LAGOS MANQUI OSCAR                           </t>
  </si>
  <si>
    <t xml:space="preserve">CRISTIAN CARRASCO NAHUELPAN                  </t>
  </si>
  <si>
    <t xml:space="preserve">INVERSIONES GASTRONOMICAS N&amp;S LTDA.          </t>
  </si>
  <si>
    <t xml:space="preserve">BARES Y RESTAURANTES LA QUILPUEINA           </t>
  </si>
  <si>
    <t xml:space="preserve">CLAUDIO FERRADA CIFUENTES EIRL               </t>
  </si>
  <si>
    <t xml:space="preserve">DELIA ALFARO R.                              </t>
  </si>
  <si>
    <t xml:space="preserve">JOSE IGNACIO HERNRIQUEZ RIQUELME             </t>
  </si>
  <si>
    <t xml:space="preserve">INVERSIONES SANTORINI LTDA                   </t>
  </si>
  <si>
    <t xml:space="preserve">ROSA CORNEJO ARAYA FARMAC.SPA                </t>
  </si>
  <si>
    <t xml:space="preserve">LUIS DE LA FUENTE CASABO                     </t>
  </si>
  <si>
    <t xml:space="preserve">GASTRONOMICA RAFAELA SPA                     </t>
  </si>
  <si>
    <t xml:space="preserve">COMERCIAL NAHUEL SPA                         </t>
  </si>
  <si>
    <t xml:space="preserve">SUIZA INVERSIONES SPA                        </t>
  </si>
  <si>
    <t xml:space="preserve">ALIMENTOS L ANGOLO SPA                       </t>
  </si>
  <si>
    <t xml:space="preserve">PRODUCTORA LUIS SABALLA LTDA                 </t>
  </si>
  <si>
    <t xml:space="preserve">INVERSIONES YUPANQUI SPA                     </t>
  </si>
  <si>
    <t xml:space="preserve">ARBOREA SPA                                  </t>
  </si>
  <si>
    <t xml:space="preserve">PORTAL ANDINO SPA                            </t>
  </si>
  <si>
    <t>SAN PEDRO DE AT</t>
  </si>
  <si>
    <t>ESTACION CENTRA</t>
  </si>
  <si>
    <t>SAN PEDRO DE LA</t>
  </si>
  <si>
    <t>SAN JOSE DE MAI</t>
  </si>
  <si>
    <t>AV LAS CONDES LOCAL 15 14141</t>
  </si>
  <si>
    <t>AV I. DEL SOLAR 105</t>
  </si>
  <si>
    <t>FRANCISCO MORENO 418</t>
  </si>
  <si>
    <t>LICANCABUR 154</t>
  </si>
  <si>
    <t>AVDA. GRANADEROS 2549</t>
  </si>
  <si>
    <t>PANTALEON CORTES 998</t>
  </si>
  <si>
    <t>AVDA BONILLA # 7969</t>
  </si>
  <si>
    <t>UNIVERSIDAD ANTOFAGASTA 02351 L</t>
  </si>
  <si>
    <t>LAS HERAS 132</t>
  </si>
  <si>
    <t>BAQUEDANO 779</t>
  </si>
  <si>
    <t>AV O HIGGINS 306</t>
  </si>
  <si>
    <t>O'HIGGINS 470</t>
  </si>
  <si>
    <t>JUAN MARTINEZ 30</t>
  </si>
  <si>
    <t>A.ERCILLA 576</t>
  </si>
  <si>
    <t>SEMINARIO 595</t>
  </si>
  <si>
    <t>CONSTITUCIÓN 143</t>
  </si>
  <si>
    <t>VITACURA 9275</t>
  </si>
  <si>
    <t>CALERA DE TANGO 8</t>
  </si>
  <si>
    <t>AVDA PEDRO FONTOVA 7280 LO</t>
  </si>
  <si>
    <t>ITALIA 1232</t>
  </si>
  <si>
    <t>SAN PABLO 943</t>
  </si>
  <si>
    <t>IRARRAZAVAL 44</t>
  </si>
  <si>
    <t>CONSTITUCION 270</t>
  </si>
  <si>
    <t>ROMAN DIAZ 152</t>
  </si>
  <si>
    <t>CAMINO EL LLANO SITIO 10-D LOCAL 11 10-D</t>
  </si>
  <si>
    <t>BANDERA 471</t>
  </si>
  <si>
    <t>2 SUR 2-3 OTE 971</t>
  </si>
  <si>
    <t>LONG SUR KM 179 SN</t>
  </si>
  <si>
    <t>5 DE ABRIL 534 534</t>
  </si>
  <si>
    <t>AVDA ARGENTINA 358</t>
  </si>
  <si>
    <t>OCARROL 1055 1055</t>
  </si>
  <si>
    <t>BDO.OHIGGINS 496</t>
  </si>
  <si>
    <t>KM 6 VILLARRICA PUCON 0</t>
  </si>
  <si>
    <t>SAELZER 11</t>
  </si>
  <si>
    <t>AV. ALEMANIA 01745</t>
  </si>
  <si>
    <t>PHILLIPI 416</t>
  </si>
  <si>
    <t>CAM. VILLARRICA LONCOCHE Km 4,5</t>
  </si>
  <si>
    <t>ELEUTERIO RAMIREZ 903</t>
  </si>
  <si>
    <t>ARTURO PRATT LOCAL B 2011</t>
  </si>
  <si>
    <t>RUTA 225 7</t>
  </si>
  <si>
    <t>BORGONO 15588</t>
  </si>
  <si>
    <t>ZENTENO 201</t>
  </si>
  <si>
    <t>ESMERALDA 442</t>
  </si>
  <si>
    <t>AV STA. TERESA LC 9 64</t>
  </si>
  <si>
    <t>AVDA.DEL MAR 2700</t>
  </si>
  <si>
    <t>VICUÑA MACKENNA 150</t>
  </si>
  <si>
    <t>VICUÑA MACKENNA 360</t>
  </si>
  <si>
    <t>BRASIL 435. SO</t>
  </si>
  <si>
    <t>BILBAO 0</t>
  </si>
  <si>
    <t>ANIBAL PINTO 1701</t>
  </si>
  <si>
    <t>CARLOS FRESNOS 289</t>
  </si>
  <si>
    <t>ESTADO 605</t>
  </si>
  <si>
    <t>LA HACIENDA 50</t>
  </si>
  <si>
    <t>LINCOYAN 465</t>
  </si>
  <si>
    <t>LOS CARRERA 748</t>
  </si>
  <si>
    <t>CALLE C PRINCIPAL LAS MONJAS SAN ANDRES BLOQUE</t>
  </si>
  <si>
    <t>OHIGGINS 117</t>
  </si>
  <si>
    <t>PEREZ VALENZUELA 1635</t>
  </si>
  <si>
    <t>AV ARTURO PRAT ED.AGUA MARINA II LOCAL 2 3068</t>
  </si>
  <si>
    <t>CARACOLES 195</t>
  </si>
  <si>
    <t>AVDA EJERCITO #226</t>
  </si>
  <si>
    <t>PROVIDENCIA 1713</t>
  </si>
  <si>
    <t>MANUEL BARROS BORGOÑO 81</t>
  </si>
  <si>
    <t>CONCHA Y TORO L.1 1060</t>
  </si>
  <si>
    <t>BILBAO 1970</t>
  </si>
  <si>
    <t>AV PRINCIPE DE GALES 6560</t>
  </si>
  <si>
    <t>CONCHA Y TORO LOCAL 4 1060</t>
  </si>
  <si>
    <t>LOS EDILES 724</t>
  </si>
  <si>
    <t>AMERICO VESPUCIO LOC 107 B22 1501</t>
  </si>
  <si>
    <t>AV MATTA 793</t>
  </si>
  <si>
    <t>BUZO SOBENES 4467</t>
  </si>
  <si>
    <t>JOSE LUIS COO 0151</t>
  </si>
  <si>
    <t>AV B OHIGGINS 270</t>
  </si>
  <si>
    <t>CAM. LAS MARIPOSAS 4009 4009</t>
  </si>
  <si>
    <t>AVDA PAUL HARRIS 790 lot</t>
  </si>
  <si>
    <t>MANUEL MONTT 860</t>
  </si>
  <si>
    <t>HOCHSTETTER 370</t>
  </si>
  <si>
    <t>OHIGGINS 20</t>
  </si>
  <si>
    <t>HUELLAHUE 0</t>
  </si>
  <si>
    <t>CAM.INTERNACONAL 1675</t>
  </si>
  <si>
    <t>URUGUAY 540</t>
  </si>
  <si>
    <t>PEDRO AGUIRRE CERDA 519</t>
  </si>
  <si>
    <t>AVDA VICENTE PEREZ ROSALE 1071</t>
  </si>
  <si>
    <t>CALLE ESTACIÓN S/N S/N</t>
  </si>
  <si>
    <t>URMENETA 974</t>
  </si>
  <si>
    <t>CLUB ECUESTRE, FUNDO CACHAGUA ZAPALLAR S/N</t>
  </si>
  <si>
    <t>QUILLOTA 131</t>
  </si>
  <si>
    <t>LAS TORTOLAS LOCAL 2 Y 3 184</t>
  </si>
  <si>
    <t>AVENIDA JOSE MARIA MERCADO, CATAPILCO 252</t>
  </si>
  <si>
    <t>LARRAIN ALCALDE 835 la</t>
  </si>
  <si>
    <t>MANUEL RODRIGUEZ 947</t>
  </si>
  <si>
    <t>COLLAO 926</t>
  </si>
  <si>
    <t>AVDA NAHUELBUTA 2610</t>
  </si>
  <si>
    <t>ETAPA VII LOCAL MALL ZOFRI SEGUNDO PISO 5</t>
  </si>
  <si>
    <t>AV. 18 SEPTIEMBRE 250</t>
  </si>
  <si>
    <t>MATTA 2282</t>
  </si>
  <si>
    <t>AVENIDA PARQUE ORIENTE 2507</t>
  </si>
  <si>
    <t>AVDA ARTURO PRAT 2093 2093</t>
  </si>
  <si>
    <t>BRASIL 799</t>
  </si>
  <si>
    <t>LUIS THAYER OJEDA 0115, L</t>
  </si>
  <si>
    <t>MAPOCHO 5041</t>
  </si>
  <si>
    <t>SANTA LUISA 163</t>
  </si>
  <si>
    <t>SAN PIO X 2530</t>
  </si>
  <si>
    <t>PEDRO FONTOVA 7280</t>
  </si>
  <si>
    <t>AVDA EL CARMEN 1397</t>
  </si>
  <si>
    <t>AEROP INTERNAC PISO 4 1220</t>
  </si>
  <si>
    <t>GRAN AVENIDA (L.33 LIDER) 6150</t>
  </si>
  <si>
    <t>ALAMEDA 3081</t>
  </si>
  <si>
    <t>FRANKLIN 774</t>
  </si>
  <si>
    <t>GENERAL SALVO 38</t>
  </si>
  <si>
    <t>CAMINO AL VOLCAN #675 675</t>
  </si>
  <si>
    <t>AV ITALIA 1484</t>
  </si>
  <si>
    <t>PEDRO DE VALDIVIA 2153</t>
  </si>
  <si>
    <t>ANTONIA LOPEZ BELLO 61</t>
  </si>
  <si>
    <t>ANIBAL MONTT 1332</t>
  </si>
  <si>
    <t>MONITOR ARAUCANO 0682</t>
  </si>
  <si>
    <t>SALOMON SACK 868</t>
  </si>
  <si>
    <t>AVDA FCO BILBAO LC-F 3469</t>
  </si>
  <si>
    <t>CARRERA 179</t>
  </si>
  <si>
    <t>CARRERA 215 215</t>
  </si>
  <si>
    <t>VALENTIN LETELIER 494 494</t>
  </si>
  <si>
    <t>BALMACEDA 31</t>
  </si>
  <si>
    <t>AVDA COSTANERA DEL MAR CONSTITUCION 1160</t>
  </si>
  <si>
    <t>AV C.SCHORR 388</t>
  </si>
  <si>
    <t>AVDA. ARGENTINA 255</t>
  </si>
  <si>
    <t>EL ROBLE 1196</t>
  </si>
  <si>
    <t>CALLE LT LA HIGUERA 01</t>
  </si>
  <si>
    <t>VARIANTE NAHUELTORO 251 LOCAL 2 251</t>
  </si>
  <si>
    <t>VALDIVIA 440 LOC 303C 304A Y 305 440</t>
  </si>
  <si>
    <t>ESMERALDA #667 667</t>
  </si>
  <si>
    <t>ESMERALDA 686</t>
  </si>
  <si>
    <t>AVENIDA ALEMANIA 945</t>
  </si>
  <si>
    <t>PEREZ ROSALES 787</t>
  </si>
  <si>
    <t>ARICA 240</t>
  </si>
  <si>
    <t>PLAZA YUNGAI 609 loc</t>
  </si>
  <si>
    <t>FREIRE 530</t>
  </si>
  <si>
    <t>WALKER MARTINEZ 561 561</t>
  </si>
  <si>
    <t>ANCUD 104</t>
  </si>
  <si>
    <t>P.J. ANDRADE 189</t>
  </si>
  <si>
    <t>A. GOMEZ GARCIA 380</t>
  </si>
  <si>
    <t>ANIBAL PINTO 818</t>
  </si>
  <si>
    <t>AV.VICUNA MACKENA 645</t>
  </si>
  <si>
    <t>AV.VALPARAISO 586</t>
  </si>
  <si>
    <t>MATEO TORO ZAMBRANO 2199</t>
  </si>
  <si>
    <t>VICENTE ZORRILLA 854</t>
  </si>
  <si>
    <t>CANTO DEL AGUA 59</t>
  </si>
  <si>
    <t>CAUPOLICAN 620</t>
  </si>
  <si>
    <t>DR SALINAS 1150</t>
  </si>
  <si>
    <t>LEMUN 4770</t>
  </si>
  <si>
    <t>LAUTARO 123 Loc</t>
  </si>
  <si>
    <t>COCHRANE 322</t>
  </si>
  <si>
    <t>CAUPOLICAN 518</t>
  </si>
  <si>
    <t>DIVINA PROVIDENCIA 699</t>
  </si>
  <si>
    <t>ERRAZURIZ 900</t>
  </si>
  <si>
    <t>RAMON FREIRE 503 loc</t>
  </si>
  <si>
    <t>LA HACIENDA 48 48</t>
  </si>
  <si>
    <t>Agosto</t>
  </si>
  <si>
    <t>Junio</t>
  </si>
  <si>
    <t>Julio</t>
  </si>
  <si>
    <t>77912772-9</t>
  </si>
  <si>
    <t>76285207-1</t>
  </si>
  <si>
    <t>76000894-K</t>
  </si>
  <si>
    <t>77655583-5</t>
  </si>
  <si>
    <t>79761870-5</t>
  </si>
  <si>
    <t>77790675-5</t>
  </si>
  <si>
    <t>76741235-5</t>
  </si>
  <si>
    <t>77344320-3</t>
  </si>
  <si>
    <t>77266566-0</t>
  </si>
  <si>
    <t>96516630-0</t>
  </si>
  <si>
    <t>87772500-6</t>
  </si>
  <si>
    <t>76541668-K</t>
  </si>
  <si>
    <t>76898736-K</t>
  </si>
  <si>
    <t>76199947-8</t>
  </si>
  <si>
    <t>96952720-0</t>
  </si>
  <si>
    <t>77010953-1</t>
  </si>
  <si>
    <t>77594573-7</t>
  </si>
  <si>
    <t>76025703-6</t>
  </si>
  <si>
    <t>77753211-1</t>
  </si>
  <si>
    <t>76871353-7</t>
  </si>
  <si>
    <t>15757278-4</t>
  </si>
  <si>
    <t>96988630-8</t>
  </si>
  <si>
    <t>76149035-4</t>
  </si>
  <si>
    <t>76649474-9</t>
  </si>
  <si>
    <t>77133004-5</t>
  </si>
  <si>
    <t>78100842-7</t>
  </si>
  <si>
    <t>9593577-K</t>
  </si>
  <si>
    <t>76279156-0</t>
  </si>
  <si>
    <t>76878934-7</t>
  </si>
  <si>
    <t>79569700-4</t>
  </si>
  <si>
    <t>6127883-4</t>
  </si>
  <si>
    <t>77095680-3</t>
  </si>
  <si>
    <t>76634007-5</t>
  </si>
  <si>
    <t>76624535-8</t>
  </si>
  <si>
    <t>76028956-6</t>
  </si>
  <si>
    <t>77134874-2</t>
  </si>
  <si>
    <t>76793380-0</t>
  </si>
  <si>
    <t>77188128-9</t>
  </si>
  <si>
    <t>77177430-K</t>
  </si>
  <si>
    <t>76888029-8</t>
  </si>
  <si>
    <t>77014340-3</t>
  </si>
  <si>
    <t>77495997-1</t>
  </si>
  <si>
    <t>77842770-2</t>
  </si>
  <si>
    <t>76060707-K</t>
  </si>
  <si>
    <t>13955166-4</t>
  </si>
  <si>
    <t>78074122-8</t>
  </si>
  <si>
    <t>76459780-K</t>
  </si>
  <si>
    <t>76166091-8</t>
  </si>
  <si>
    <t xml:space="preserve">SOCIEDAD GASTRONOMICA SPA                    </t>
  </si>
  <si>
    <t xml:space="preserve">COMERCIAL DAVID A. QUISPE CALLE E.I.R.L      </t>
  </si>
  <si>
    <t xml:space="preserve">SERVICIOS GASTRON .OTAKU LTDA                </t>
  </si>
  <si>
    <t xml:space="preserve">SERVICIOS GASTRONOMICO COSTASUR SPA          </t>
  </si>
  <si>
    <t xml:space="preserve">SOC. HECORT LTDA.                            </t>
  </si>
  <si>
    <t xml:space="preserve">BODEGA PARMA SPA                             </t>
  </si>
  <si>
    <t xml:space="preserve">SERVICIOS GASTRONOMICOS CLUB MANQUEHUE SPA   </t>
  </si>
  <si>
    <t xml:space="preserve">RANDIC Y CIA LTDA.                           </t>
  </si>
  <si>
    <t xml:space="preserve">LAGARDERE TRAVEL RETAIL FOODSERVICES SPA     </t>
  </si>
  <si>
    <t xml:space="preserve">HASBUN KATTAN SPA                            </t>
  </si>
  <si>
    <t xml:space="preserve">TAPIA Y TORRA LTDA.                          </t>
  </si>
  <si>
    <t>FUENZALIDA &amp; GONZALEZ BAR RESTORANTE Y PRODUC</t>
  </si>
  <si>
    <t xml:space="preserve">COSTAMAR GOURMET SPA                         </t>
  </si>
  <si>
    <t xml:space="preserve">COPA SERVICES S.A                            </t>
  </si>
  <si>
    <t xml:space="preserve">HOTELERA ALCAZAR S.A                         </t>
  </si>
  <si>
    <t xml:space="preserve">ZULIANISIMO SPA                              </t>
  </si>
  <si>
    <t xml:space="preserve">RESTAURANTE Y TIENDITA SPA                   </t>
  </si>
  <si>
    <t xml:space="preserve">SOCIEDAD PRODUCTORA DE CARNES S.A            </t>
  </si>
  <si>
    <t xml:space="preserve">MR COFFEE SPA                                </t>
  </si>
  <si>
    <t xml:space="preserve">COMERCILA SANTA SOFIA SPA                    </t>
  </si>
  <si>
    <t xml:space="preserve">CRISTIAN SALAZAR ESPERGUEL                   </t>
  </si>
  <si>
    <t xml:space="preserve">SERVICIOS AEROPORTUARIOS SA                  </t>
  </si>
  <si>
    <t xml:space="preserve">SERV. GAST.  EL UNO LTDA                     </t>
  </si>
  <si>
    <t xml:space="preserve">SOC. TERRALAGO SPA                           </t>
  </si>
  <si>
    <t xml:space="preserve">INV. HERMANOS ROJAS LTDA.                    </t>
  </si>
  <si>
    <t xml:space="preserve">ASOCIADOS JD&amp;G SPA                           </t>
  </si>
  <si>
    <t xml:space="preserve">VILLARROEL ALVAREZ JORGE                     </t>
  </si>
  <si>
    <t xml:space="preserve">SOC. COM. OYARZÚN Y CARRASCO LTDA.           </t>
  </si>
  <si>
    <t xml:space="preserve">5MENTARIOS LIMITADA                          </t>
  </si>
  <si>
    <t xml:space="preserve">SOC. IND. Y COM. KLAM                        </t>
  </si>
  <si>
    <t xml:space="preserve">BARRIA VARGAS GLADYS                         </t>
  </si>
  <si>
    <t xml:space="preserve">PORTOFINO LIMITADA                           </t>
  </si>
  <si>
    <t xml:space="preserve">WOMU LTDA.                                   </t>
  </si>
  <si>
    <t xml:space="preserve">CHIMAN SPA                                   </t>
  </si>
  <si>
    <t xml:space="preserve">SERV.TURISTICOS E INVERCIONES VIATORIS LTDA. </t>
  </si>
  <si>
    <t xml:space="preserve">SOC COM Y GASTRONOMICA ACG LTDA              </t>
  </si>
  <si>
    <t xml:space="preserve">REST. SALON Y CENTRO BERNARDO HERBIAS        </t>
  </si>
  <si>
    <t xml:space="preserve">INVERSIONES RESTOBAR REÑACA SPA              </t>
  </si>
  <si>
    <t xml:space="preserve">ALIMENTOS SAN MARTIN SPA                     </t>
  </si>
  <si>
    <t xml:space="preserve">COSTA TONGOY LIMITADA                        </t>
  </si>
  <si>
    <t xml:space="preserve">ALIMENTOS RANCAGUA LTDA.                     </t>
  </si>
  <si>
    <t xml:space="preserve">TIO MANOLO SANGUCHERIA LTDA                  </t>
  </si>
  <si>
    <t xml:space="preserve">BOSS PRODUCCIONES LTDA                       </t>
  </si>
  <si>
    <t xml:space="preserve">INVERSIONES LOS ALPES LTDA                   </t>
  </si>
  <si>
    <t xml:space="preserve">PRISCILA CIFUENTES PENA                      </t>
  </si>
  <si>
    <t xml:space="preserve">LA PIEDRA RESTAURANTE SPA                    </t>
  </si>
  <si>
    <t xml:space="preserve">HOTELERIA Y GASTRONOMIA                      </t>
  </si>
  <si>
    <t xml:space="preserve">COMERCIAL LA LUNA LIMITADA                   </t>
  </si>
  <si>
    <t>ARTURO PRAT 3022</t>
  </si>
  <si>
    <t>BOLOGNESI 311</t>
  </si>
  <si>
    <t>A. PRAT 3082</t>
  </si>
  <si>
    <t>AV JAIME GUZMAN 2925</t>
  </si>
  <si>
    <t>COMERCIO 394</t>
  </si>
  <si>
    <t>PANAMERICANA SUR KM 41 Local 1</t>
  </si>
  <si>
    <t>VITACURA 5841</t>
  </si>
  <si>
    <t>VITACURA 8049</t>
  </si>
  <si>
    <t>AEROP INTER AMB Sin Num</t>
  </si>
  <si>
    <t>CAMINO CHICUREO L.9KM 2.2 0</t>
  </si>
  <si>
    <t>VIVACETA 2031</t>
  </si>
  <si>
    <t>SANTA ISABEL 0506 PROVIDENCIA 0506</t>
  </si>
  <si>
    <t>AV VITACURA LOCAL 3 8943</t>
  </si>
  <si>
    <t>AEROPUERTO AMB ROTONDA NACIONAL 73-C</t>
  </si>
  <si>
    <t>SANTA MARIA 1742 1742</t>
  </si>
  <si>
    <t>MALLINKRODT 160</t>
  </si>
  <si>
    <t>EMILLE ALLAIS LA PARVA S/N</t>
  </si>
  <si>
    <t>OHIGGINS 279</t>
  </si>
  <si>
    <t>AVDA EL SALTO 5000</t>
  </si>
  <si>
    <t>MANUEL LARRAIN PC 10 LT A 1 10</t>
  </si>
  <si>
    <t>ARTURO PRAT 21</t>
  </si>
  <si>
    <t>CLAUDIO ARRAU 177</t>
  </si>
  <si>
    <t>AV NVA COSTANERA 3698</t>
  </si>
  <si>
    <t>OHIGGINS 771</t>
  </si>
  <si>
    <t>CAMILO HENRRIQUEZ 410</t>
  </si>
  <si>
    <t>SAELZER 020 Saelzer</t>
  </si>
  <si>
    <t>TORREMOLINOS 485 LOC</t>
  </si>
  <si>
    <t>WALKER MARTINEZ 561</t>
  </si>
  <si>
    <t>SARGENTO ALDEA 1120</t>
  </si>
  <si>
    <t>RAMON FREIRE 485</t>
  </si>
  <si>
    <t>ARTURO PRAT 349</t>
  </si>
  <si>
    <t>LADRILLEROS 790</t>
  </si>
  <si>
    <t>BELLAMAR CERRO ESPERANZA 301</t>
  </si>
  <si>
    <t>BLANCO 199</t>
  </si>
  <si>
    <t>CARLOS LEON BRICEÑO 779</t>
  </si>
  <si>
    <t>PAJE DIMALOW , C. ALEGRE 166</t>
  </si>
  <si>
    <t>4 NORTE 165</t>
  </si>
  <si>
    <t>AV. BORGOÑO LOC.4 14797</t>
  </si>
  <si>
    <t>LAS OLAS / REÑACA 78</t>
  </si>
  <si>
    <t>PEDRO DE VALDIVIA 350</t>
  </si>
  <si>
    <t>BLANCO ENCALADA 69</t>
  </si>
  <si>
    <t>DR. SALINAS 120</t>
  </si>
  <si>
    <t>ALCAZAR 310</t>
  </si>
  <si>
    <t>BARROS ARANA 1356</t>
  </si>
  <si>
    <t>RAMON CARRASCO 256</t>
  </si>
  <si>
    <t>RENGO 438</t>
  </si>
  <si>
    <t>PURRANQUE 8453</t>
  </si>
  <si>
    <t>CALLE KORNER 248</t>
  </si>
  <si>
    <t>OHIGGINS 1017</t>
  </si>
  <si>
    <t>cambio de equipo</t>
  </si>
  <si>
    <t>Cambio Maquina para eventos</t>
  </si>
  <si>
    <t xml:space="preserve">Cliente decidió dejar de trabajar el formato schop en barra, solo deja maquina movil </t>
  </si>
  <si>
    <t>Cambio de equipo barras moviles</t>
  </si>
  <si>
    <t xml:space="preserve">Competencia </t>
  </si>
  <si>
    <t>Desintalar por falta de espacio</t>
  </si>
  <si>
    <t>Cliente decidió dejar de trabajar con CCU</t>
  </si>
  <si>
    <t>Cliente no aperturó se está gestionando retiro</t>
  </si>
  <si>
    <t>Local quemado</t>
  </si>
  <si>
    <t>cliente cerrado</t>
  </si>
  <si>
    <t>Cliente con término de giro</t>
  </si>
  <si>
    <t>Regularización en sistema</t>
  </si>
  <si>
    <t>CHAÑARAL</t>
  </si>
  <si>
    <t>PAINE</t>
  </si>
  <si>
    <t>INDEPENDENCIA</t>
  </si>
  <si>
    <t>SAN CLEMENTE</t>
  </si>
  <si>
    <t>FREIRE</t>
  </si>
  <si>
    <t>AISEN</t>
  </si>
  <si>
    <t>DALCAHUE</t>
  </si>
  <si>
    <t>ZAPALLAR</t>
  </si>
  <si>
    <t>HUALPEN</t>
  </si>
  <si>
    <t>ARAUCO</t>
  </si>
  <si>
    <t>PUNTA ARENAS</t>
  </si>
  <si>
    <t>MEJILLONES</t>
  </si>
  <si>
    <t>VALLENAR</t>
  </si>
  <si>
    <t>PIRQUE</t>
  </si>
  <si>
    <t>COLLIPULLI</t>
  </si>
  <si>
    <t>CALERA</t>
  </si>
  <si>
    <t>LOS ANDES</t>
  </si>
  <si>
    <t>LAS CABRAS</t>
  </si>
  <si>
    <t>CORONEL</t>
  </si>
  <si>
    <t>MELIPEUCO</t>
  </si>
  <si>
    <t>LOS MUERMOS</t>
  </si>
  <si>
    <t>SAN FERNANDO</t>
  </si>
  <si>
    <t>QUINTA NORMAL</t>
  </si>
  <si>
    <t>SAN MIGUEL</t>
  </si>
  <si>
    <t>RENCA</t>
  </si>
  <si>
    <t>RAUCO</t>
  </si>
  <si>
    <t>ANGOL</t>
  </si>
  <si>
    <t>CURACAUTIN</t>
  </si>
  <si>
    <t>CHONCHI</t>
  </si>
  <si>
    <t>LOS VILOS</t>
  </si>
  <si>
    <t>SANTA JUANA</t>
  </si>
  <si>
    <t>EL TABO</t>
  </si>
  <si>
    <t>de Aysén</t>
  </si>
  <si>
    <t>de Atacama</t>
  </si>
  <si>
    <t>De Magallanes</t>
  </si>
  <si>
    <t>Los Lagos</t>
  </si>
  <si>
    <t>No tiene Nombre de Fantasía Ingresado</t>
  </si>
  <si>
    <t>ERETZ BAR</t>
  </si>
  <si>
    <t>ALMIBAR</t>
  </si>
  <si>
    <t>MAL DE PUNA</t>
  </si>
  <si>
    <t>PATAGONIA</t>
  </si>
  <si>
    <t>RINCON DE JANO</t>
  </si>
  <si>
    <t>ELEVEN</t>
  </si>
  <si>
    <t>SANTO REMEDIO</t>
  </si>
  <si>
    <t>DOMINGA CLUB</t>
  </si>
  <si>
    <t>QUILVO</t>
  </si>
  <si>
    <t>BALGANEZ</t>
  </si>
  <si>
    <t>SCHOPDOG</t>
  </si>
  <si>
    <t>FOGON LA MARCA</t>
  </si>
  <si>
    <t>SANTORINI</t>
  </si>
  <si>
    <t>KAI PISQUERIA SUSHI BAR</t>
  </si>
  <si>
    <t>LA CASONA (SAN PEDRO)</t>
  </si>
  <si>
    <t>BAR BAHIA</t>
  </si>
  <si>
    <t>GREZ CLUB</t>
  </si>
  <si>
    <t>MARIA MORENA</t>
  </si>
  <si>
    <t>MATTARELLO</t>
  </si>
  <si>
    <t>LAS PEÑAS DE ARICA</t>
  </si>
  <si>
    <t>BIJOUX</t>
  </si>
  <si>
    <t>BANGO</t>
  </si>
  <si>
    <t>COPOLA</t>
  </si>
  <si>
    <t>BRAVO CABRERA</t>
  </si>
  <si>
    <t>TENPENPIE</t>
  </si>
  <si>
    <t>PECCATORI</t>
  </si>
  <si>
    <t>DANES</t>
  </si>
  <si>
    <t>BUFALO BEEF</t>
  </si>
  <si>
    <t>OCULTO</t>
  </si>
  <si>
    <t>FRANCO 2X1</t>
  </si>
  <si>
    <t>INFINITY</t>
  </si>
  <si>
    <t>BLACK JACK</t>
  </si>
  <si>
    <t>MAGNOLIA</t>
  </si>
  <si>
    <t>TENTAO</t>
  </si>
  <si>
    <t>VOLCANO</t>
  </si>
  <si>
    <t>PATIO BAR</t>
  </si>
  <si>
    <t>DREAMS HOTEL TEMUCO</t>
  </si>
  <si>
    <t>LA ULTIMA FRONTERA</t>
  </si>
  <si>
    <t>ZONA ZETA</t>
  </si>
  <si>
    <t>NEW VICE</t>
  </si>
  <si>
    <t>VERDE SECRETO</t>
  </si>
  <si>
    <t>AUTOCLUB</t>
  </si>
  <si>
    <t>ANTONELLA</t>
  </si>
  <si>
    <t>EL FRANCES</t>
  </si>
  <si>
    <t>SOCIAL BAR CACHAGUA</t>
  </si>
  <si>
    <t>PANQUEQUE REÑACA</t>
  </si>
  <si>
    <t>LOCOS POR VIÑA</t>
  </si>
  <si>
    <t>TOMACHO MAR Y TIERRA</t>
  </si>
  <si>
    <t>OTAKU</t>
  </si>
  <si>
    <t>CLUB MANQUEHUE</t>
  </si>
  <si>
    <t>ESTADIO CROATA</t>
  </si>
  <si>
    <t>LAGARDERE</t>
  </si>
  <si>
    <t>EL ESTABLO</t>
  </si>
  <si>
    <t>BARRACUDA</t>
  </si>
  <si>
    <t>CAFE PATAGONIA AEROPUERTO</t>
  </si>
  <si>
    <t>HOTEL SHERATON</t>
  </si>
  <si>
    <t>OLIMPICO</t>
  </si>
  <si>
    <t>LA MIGA</t>
  </si>
  <si>
    <t>CALABAZAS BAR</t>
  </si>
  <si>
    <t>LA RAMONA SUSHI</t>
  </si>
  <si>
    <t>PORTOFINO</t>
  </si>
  <si>
    <t>WOMU BAR</t>
  </si>
  <si>
    <t>LA CHOCA</t>
  </si>
  <si>
    <t>FAUNA</t>
  </si>
  <si>
    <t>PATIO DOMINGA</t>
  </si>
  <si>
    <t>BAR LAS OLAS</t>
  </si>
  <si>
    <t>SANTA BRASA</t>
  </si>
  <si>
    <t>NEW 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</si>
</sst>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Roboto Condensed"/>
    </font>
    <font>
      <sz val="11"/>
      <color theme="1"/>
      <name val="Calibri"/>
      <family val="2"/>
      <scheme val="minor"/>
    </font>
    <font>
      <b/>
      <sz val="11"/>
      <color rgb="FFFFFFFF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/>
    <xf numFmtId="0" fontId="3" fillId="2" borderId="1" xfId="0" applyFont="1" applyFill="1" applyBorder="1" applyAlignment="1">
      <alignment wrapText="1"/>
    </xf>
  </cellXfs>
  <cellStyles count="2">
    <cellStyle name="Normal" xfId="0" builtinId="0"/>
    <cellStyle name="Normal 2" xfId="1" xr:uid="{84667B3B-CAEF-46BA-A1DC-67BCB6D0BF1F}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simond/Documents/13.%20Seguimiento%20Continuo%20FNE/05.%20Mayo/05.%20Seguimiento%20Continuo%20FNE%20-%20Expl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CU/revision%20completa%201%20septiembre2025/C:/Users/jsimond/Downloads/Seguimiento%20Continuo%20FNE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Aumento"/>
      <sheetName val="2. Disminución"/>
      <sheetName val="Envío"/>
      <sheetName val="Lista"/>
    </sheetNames>
    <sheetDataSet>
      <sheetData sheetId="0" refreshError="1"/>
      <sheetData sheetId="1">
        <row r="2">
          <cell r="A2" t="str">
            <v>ID Cliente</v>
          </cell>
          <cell r="B2" t="str">
            <v>2. Reporte de cambios en activos cerveza - Canal Consumo</v>
          </cell>
        </row>
        <row r="3">
          <cell r="A3">
            <v>1362043</v>
          </cell>
          <cell r="B3" t="str">
            <v>Clientes que presentan una disminución total o parcial de salidas de schop, independiente de cuantas salidas tenga en total. De acuerdo al comprimiso con la FNE es necesario informar el motivo.</v>
          </cell>
        </row>
        <row r="4">
          <cell r="A4">
            <v>847558</v>
          </cell>
          <cell r="B4" t="str">
            <v>Actualizado al 14 de Mayo</v>
          </cell>
        </row>
        <row r="6">
          <cell r="A6" t="str">
            <v>ID</v>
          </cell>
          <cell r="B6" t="str">
            <v>Zona</v>
          </cell>
          <cell r="C6" t="str">
            <v>Distrito</v>
          </cell>
          <cell r="D6" t="str">
            <v>Jefe de Ventas</v>
          </cell>
          <cell r="E6" t="str">
            <v>Vendedor</v>
          </cell>
          <cell r="F6" t="str">
            <v>Cliente</v>
          </cell>
          <cell r="G6" t="str">
            <v>N° Equipos</v>
          </cell>
          <cell r="H6" t="str">
            <v>N° Salidas</v>
          </cell>
          <cell r="I6" t="str">
            <v>Razón de Disminución</v>
          </cell>
          <cell r="J6" t="str">
            <v>Rellenar solo en caso de "Otro"</v>
          </cell>
        </row>
        <row r="7">
          <cell r="A7">
            <v>745390</v>
          </cell>
          <cell r="B7" t="str">
            <v>CENTRO COSTA</v>
          </cell>
          <cell r="C7" t="str">
            <v>COSTA</v>
          </cell>
          <cell r="D7" t="str">
            <v>OSVALDO ORTEGA CASTRO</v>
          </cell>
          <cell r="E7" t="str">
            <v>CRISTIAN TORO ABARCA</v>
          </cell>
          <cell r="F7" t="str">
            <v xml:space="preserve">745390 - SOCIEDAD CAVA FE LTDA                        </v>
          </cell>
          <cell r="G7">
            <v>1</v>
          </cell>
          <cell r="H7">
            <v>2</v>
          </cell>
          <cell r="I7" t="str">
            <v>Otro (Especificar Columna J)</v>
          </cell>
          <cell r="J7" t="str">
            <v>actualización de equipo (posse maquina nueva, pero servicio tecnico lo habia dejado de visitar</v>
          </cell>
        </row>
        <row r="8">
          <cell r="A8">
            <v>2389293</v>
          </cell>
          <cell r="B8" t="str">
            <v>CENTRO COSTA</v>
          </cell>
          <cell r="C8" t="str">
            <v>COSTA</v>
          </cell>
          <cell r="D8" t="str">
            <v>OSVALDO ORTEGA CASTRO</v>
          </cell>
          <cell r="E8" t="str">
            <v>RICARDO FERRADA FIGUEROA</v>
          </cell>
          <cell r="F8" t="str">
            <v xml:space="preserve">2389293 - PRODUCTORA LUIS SABALLA LTDA                 </v>
          </cell>
          <cell r="G8">
            <v>0</v>
          </cell>
          <cell r="H8">
            <v>0</v>
          </cell>
          <cell r="I8" t="str">
            <v>Cliente con término de giro, se retiró 100% de activos</v>
          </cell>
        </row>
        <row r="9">
          <cell r="A9">
            <v>896693</v>
          </cell>
          <cell r="B9" t="str">
            <v>CENTRO COSTA</v>
          </cell>
          <cell r="C9" t="str">
            <v>IMAGEN VIÑA</v>
          </cell>
          <cell r="D9" t="str">
            <v>EDUARDO LIRA JAAR</v>
          </cell>
          <cell r="E9" t="str">
            <v>EDUARDO LIRA JAAR</v>
          </cell>
          <cell r="F9" t="str">
            <v xml:space="preserve">896693 - CLAUDIO FERRADA CIFUENTES EIRL               </v>
          </cell>
          <cell r="G9">
            <v>0</v>
          </cell>
          <cell r="H9">
            <v>0</v>
          </cell>
          <cell r="I9" t="str">
            <v>Cliente con término de giro, se retiró 100% de activos</v>
          </cell>
        </row>
        <row r="10">
          <cell r="A10">
            <v>894349</v>
          </cell>
          <cell r="B10" t="str">
            <v>CENTRO COSTA</v>
          </cell>
          <cell r="C10" t="str">
            <v>IMAGEN VIÑA</v>
          </cell>
          <cell r="D10" t="str">
            <v>EDUARDO LIRA JAAR</v>
          </cell>
          <cell r="E10" t="str">
            <v>EDUARDO LIRA JAAR</v>
          </cell>
          <cell r="F10" t="str">
            <v xml:space="preserve">894349 - CARACOLES LTDA                               </v>
          </cell>
          <cell r="G10">
            <v>0</v>
          </cell>
          <cell r="H10">
            <v>0</v>
          </cell>
          <cell r="I10" t="str">
            <v>Cliente con término de giro, se retiró 100% de activos</v>
          </cell>
        </row>
        <row r="11">
          <cell r="A11">
            <v>2351694</v>
          </cell>
          <cell r="B11" t="str">
            <v>CENTRO COSTA</v>
          </cell>
          <cell r="C11" t="str">
            <v>LA SERENA/OVALLE</v>
          </cell>
          <cell r="D11" t="str">
            <v>ESTEBAN ARAYA CERDA</v>
          </cell>
          <cell r="E11" t="str">
            <v>ANDRES ACHA ACEVEDO</v>
          </cell>
          <cell r="F11" t="str">
            <v xml:space="preserve">2351694 - SERVICIOS GASTRONOMICOS Y GOURMET Y RESTOBAR </v>
          </cell>
          <cell r="G11">
            <v>0</v>
          </cell>
          <cell r="H11">
            <v>0</v>
          </cell>
          <cell r="I11" t="str">
            <v>Cliente Fugado</v>
          </cell>
          <cell r="J11" t="str">
            <v>CLIENTE GUANAQUEROS SE FUGA, SOLO DEJÓ MAQUINA DE SCHOP LA CUAL FUE RETIRADA POR ST</v>
          </cell>
        </row>
        <row r="12">
          <cell r="A12">
            <v>661109</v>
          </cell>
          <cell r="B12" t="str">
            <v>CENTRO COSTA</v>
          </cell>
          <cell r="C12" t="str">
            <v>VIÑA DEL MAR</v>
          </cell>
          <cell r="D12" t="str">
            <v>GERMAN SALINAS ORELLANA</v>
          </cell>
          <cell r="E12" t="str">
            <v>RODRIGO ALFREDO ULLOA SANCHEZ</v>
          </cell>
          <cell r="F12" t="str">
            <v xml:space="preserve">661109 - ALDO CONTRERAS CABRERA                       </v>
          </cell>
          <cell r="G12">
            <v>0</v>
          </cell>
          <cell r="H12">
            <v>0</v>
          </cell>
          <cell r="I12" t="str">
            <v>Cambio de razón Social</v>
          </cell>
        </row>
        <row r="13">
          <cell r="A13">
            <v>649050</v>
          </cell>
          <cell r="B13" t="str">
            <v>CENTRO COSTA</v>
          </cell>
          <cell r="C13" t="str">
            <v>VIÑA DEL MAR</v>
          </cell>
          <cell r="D13" t="str">
            <v>GERMAN SALINAS ORELLANA</v>
          </cell>
          <cell r="E13" t="str">
            <v>RODRIGO ALFREDO ULLOA SANCHEZ</v>
          </cell>
          <cell r="F13" t="str">
            <v xml:space="preserve">649050 - MARCELINA VALDIVIA PEREZ                     </v>
          </cell>
          <cell r="G13">
            <v>0</v>
          </cell>
          <cell r="H13">
            <v>0</v>
          </cell>
          <cell r="I13" t="str">
            <v>Cambio de razón Social</v>
          </cell>
        </row>
        <row r="14">
          <cell r="A14">
            <v>2074231</v>
          </cell>
          <cell r="B14" t="str">
            <v>CENTRO COSTA</v>
          </cell>
          <cell r="C14" t="str">
            <v>VIÑA DEL MAR</v>
          </cell>
          <cell r="D14" t="str">
            <v>MATIAS MERCADO MARTINEZ</v>
          </cell>
          <cell r="E14" t="str">
            <v>IVAN ALEJANDRO TAPIA OLIVARES</v>
          </cell>
          <cell r="F14" t="str">
            <v xml:space="preserve">2074231 - INVERSIONES EL ALTO SPA                      </v>
          </cell>
          <cell r="G14">
            <v>0</v>
          </cell>
          <cell r="H14">
            <v>0</v>
          </cell>
          <cell r="I14" t="str">
            <v>Otro (Especificar Columna J)</v>
          </cell>
          <cell r="J14" t="str">
            <v>Cliente de Temporada</v>
          </cell>
        </row>
        <row r="15">
          <cell r="A15">
            <v>891923</v>
          </cell>
          <cell r="B15" t="str">
            <v>CENTRO COSTA</v>
          </cell>
          <cell r="C15" t="str">
            <v>VIÑA DEL MAR</v>
          </cell>
          <cell r="D15" t="str">
            <v>MATIAS NEUPERT VICUNA</v>
          </cell>
          <cell r="E15" t="str">
            <v>HECTOR ANDRES OLIVARES VIDAL</v>
          </cell>
          <cell r="F15" t="str">
            <v xml:space="preserve">891923 - INMOBILIARIA E INVERSIONES FEJO LTDA         </v>
          </cell>
          <cell r="G15">
            <v>0</v>
          </cell>
          <cell r="H15">
            <v>0</v>
          </cell>
          <cell r="I15" t="str">
            <v>Cambio de razón Social</v>
          </cell>
        </row>
        <row r="16">
          <cell r="A16">
            <v>1489863</v>
          </cell>
          <cell r="B16" t="str">
            <v>CENTRO COSTA</v>
          </cell>
          <cell r="C16" t="str">
            <v>VIÑA DEL MAR</v>
          </cell>
          <cell r="D16" t="str">
            <v>MICHAEL KORBLER ROJAS</v>
          </cell>
          <cell r="E16" t="str">
            <v>FRANCISCO VELIZ ALLENDE</v>
          </cell>
          <cell r="F16" t="str">
            <v xml:space="preserve">1489863 - ROSA DEL CARMEN ROJAS TUDELA                 </v>
          </cell>
          <cell r="G16">
            <v>0</v>
          </cell>
          <cell r="H16">
            <v>0</v>
          </cell>
          <cell r="I16" t="str">
            <v>Otro (Especificar Columna J)</v>
          </cell>
          <cell r="J16" t="str">
            <v>Fue retirada porque se quemó el local</v>
          </cell>
        </row>
        <row r="17">
          <cell r="A17">
            <v>2374130</v>
          </cell>
          <cell r="B17" t="str">
            <v>CENTRO COSTA</v>
          </cell>
          <cell r="C17" t="str">
            <v>VIÑA DEL MAR</v>
          </cell>
          <cell r="D17" t="str">
            <v>MICHAEL KORBLER ROJAS</v>
          </cell>
          <cell r="E17" t="str">
            <v>FRANCISCO VELIZ ALLENDE</v>
          </cell>
          <cell r="F17" t="str">
            <v>2374130 - SERV. DE ALIMENTACION KATHERINE RAMIREZ RODRI</v>
          </cell>
          <cell r="G17">
            <v>0</v>
          </cell>
          <cell r="H17">
            <v>0</v>
          </cell>
          <cell r="I17" t="str">
            <v>Cliente con término de giro, se retiró 100% de activos</v>
          </cell>
        </row>
        <row r="18">
          <cell r="A18">
            <v>1375663</v>
          </cell>
          <cell r="B18" t="str">
            <v>CENTRO SUR</v>
          </cell>
          <cell r="C18" t="str">
            <v>CHILLAN/LOS ANGELES</v>
          </cell>
          <cell r="D18" t="str">
            <v>AMERICO URRUTIA VELOSO</v>
          </cell>
          <cell r="E18" t="str">
            <v>PAOLA VICTORIA CABRERA CERNA</v>
          </cell>
          <cell r="F18" t="str">
            <v xml:space="preserve">1375663 - MARCELO MARCOS ZARZAR ESPINOZA               </v>
          </cell>
          <cell r="G18">
            <v>0</v>
          </cell>
          <cell r="H18">
            <v>0</v>
          </cell>
          <cell r="I18" t="str">
            <v>Cambio de razón Social</v>
          </cell>
        </row>
        <row r="19">
          <cell r="A19">
            <v>1434015</v>
          </cell>
          <cell r="B19" t="str">
            <v>CENTRO SUR</v>
          </cell>
          <cell r="C19" t="str">
            <v>CHILLAN/LOS ANGELES</v>
          </cell>
          <cell r="D19" t="str">
            <v>CINTHIA AGUILERA</v>
          </cell>
          <cell r="E19" t="str">
            <v>GABRIEL ESCOBAR SALCEDO</v>
          </cell>
          <cell r="F19" t="str">
            <v xml:space="preserve">1434015 - 1000 GRADOS SPA                              </v>
          </cell>
          <cell r="G19">
            <v>0</v>
          </cell>
          <cell r="H19">
            <v>0</v>
          </cell>
          <cell r="I19" t="str">
            <v>Cliente decidió dejar de trabajar el formato schop</v>
          </cell>
        </row>
        <row r="20">
          <cell r="A20">
            <v>1673754</v>
          </cell>
          <cell r="B20" t="str">
            <v>CENTRO SUR</v>
          </cell>
          <cell r="C20" t="str">
            <v>CHILLAN/LOS ANGELES</v>
          </cell>
          <cell r="D20" t="str">
            <v>KATHERINE ARAVENA DEL RIO</v>
          </cell>
          <cell r="E20" t="str">
            <v>MAYORISTA2 LOS ANGELES</v>
          </cell>
          <cell r="F20" t="str">
            <v xml:space="preserve">1673754 - RESTAURANTE MONTADITOS GOURMET LTDA.         </v>
          </cell>
          <cell r="G20">
            <v>0</v>
          </cell>
          <cell r="H20">
            <v>0</v>
          </cell>
          <cell r="I20" t="str">
            <v>Cambio de razón Social</v>
          </cell>
        </row>
        <row r="21">
          <cell r="A21">
            <v>1375950</v>
          </cell>
          <cell r="B21" t="str">
            <v>CENTRO SUR</v>
          </cell>
          <cell r="C21" t="str">
            <v>CHILLAN/LOS ANGELES</v>
          </cell>
          <cell r="D21" t="str">
            <v>LEOPOLDO MAYORGA MORAN</v>
          </cell>
          <cell r="E21" t="str">
            <v>ANGELO MUNOZ VALDEBENITO</v>
          </cell>
          <cell r="F21" t="str">
            <v xml:space="preserve">1375950 - ENRIQUE MORALES GRANDON                      </v>
          </cell>
          <cell r="G21">
            <v>1</v>
          </cell>
          <cell r="H21">
            <v>3</v>
          </cell>
          <cell r="I21" t="str">
            <v>Otro (Especificar Columna J)</v>
          </cell>
          <cell r="J21" t="str">
            <v>Se le envia formulario para disponibilizar salida</v>
          </cell>
        </row>
        <row r="22">
          <cell r="A22">
            <v>554322</v>
          </cell>
          <cell r="B22" t="str">
            <v>CENTRO SUR</v>
          </cell>
          <cell r="C22" t="str">
            <v>CHILLAN/LOS ANGELES</v>
          </cell>
          <cell r="D22" t="str">
            <v>LEOPOLDO MAYORGA MORAN</v>
          </cell>
          <cell r="E22" t="str">
            <v>CRISTIAN MEDINA GUZMAN</v>
          </cell>
          <cell r="F22" t="str">
            <v xml:space="preserve">554322 - HERALDO BALBOA LEON                          </v>
          </cell>
          <cell r="G22">
            <v>0</v>
          </cell>
          <cell r="H22">
            <v>0</v>
          </cell>
          <cell r="I22" t="str">
            <v>Cliente con término de giro, se retiró 100% de activos</v>
          </cell>
        </row>
        <row r="23">
          <cell r="A23">
            <v>2402999</v>
          </cell>
          <cell r="B23" t="str">
            <v>CENTRO SUR</v>
          </cell>
          <cell r="C23" t="str">
            <v>CHILLAN/LOS ANGELES</v>
          </cell>
          <cell r="D23" t="str">
            <v>RUBEN ANDRADE MEZA</v>
          </cell>
          <cell r="E23" t="str">
            <v>RUBEN ANDRADE MEZA</v>
          </cell>
          <cell r="F23" t="str">
            <v xml:space="preserve">2402999 - SOCIEDAD TURISTICA Y GASTRONOMICA LA RUTA    </v>
          </cell>
          <cell r="G23">
            <v>0</v>
          </cell>
          <cell r="H23">
            <v>0</v>
          </cell>
          <cell r="I23" t="str">
            <v>Cambio de razón Social</v>
          </cell>
        </row>
        <row r="24">
          <cell r="A24">
            <v>548721</v>
          </cell>
          <cell r="B24" t="str">
            <v>CENTRO SUR</v>
          </cell>
          <cell r="C24" t="str">
            <v>CHILLAN/LOS ANGELES</v>
          </cell>
          <cell r="D24" t="str">
            <v>RUBEN ANDRADE MEZA</v>
          </cell>
          <cell r="E24" t="str">
            <v>RUBEN ANDRADE MEZA</v>
          </cell>
          <cell r="F24" t="str">
            <v xml:space="preserve">548721 - HUGO ITURRA                                  </v>
          </cell>
          <cell r="G24">
            <v>0</v>
          </cell>
          <cell r="H24">
            <v>0</v>
          </cell>
          <cell r="I24" t="str">
            <v>Cambio de razón Social</v>
          </cell>
        </row>
        <row r="25">
          <cell r="A25">
            <v>2229149</v>
          </cell>
          <cell r="B25" t="str">
            <v>CENTRO SUR</v>
          </cell>
          <cell r="C25" t="str">
            <v>CHILLAN/LOS ANGELES</v>
          </cell>
          <cell r="D25" t="str">
            <v>RUBEN ANDRADE MEZA</v>
          </cell>
          <cell r="E25" t="str">
            <v>RUBEN ANDRADE MEZA</v>
          </cell>
          <cell r="F25" t="str">
            <v xml:space="preserve">2229149 - INVERSIONES GASTRONOMICAS DEL SUR SPA        </v>
          </cell>
          <cell r="G25">
            <v>0</v>
          </cell>
          <cell r="H25">
            <v>0</v>
          </cell>
          <cell r="I25" t="str">
            <v>Cambio de razón Social</v>
          </cell>
        </row>
        <row r="26">
          <cell r="A26">
            <v>541163</v>
          </cell>
          <cell r="B26" t="str">
            <v>CENTRO SUR</v>
          </cell>
          <cell r="C26" t="str">
            <v>CONCEPCION</v>
          </cell>
          <cell r="D26" t="str">
            <v>ADOLFO ALVEAR FIERRO</v>
          </cell>
          <cell r="E26" t="str">
            <v>RODRIGO CARRILLO</v>
          </cell>
          <cell r="F26" t="str">
            <v xml:space="preserve">541163 - YANET GOMEZ C.                               </v>
          </cell>
          <cell r="G26">
            <v>0</v>
          </cell>
          <cell r="H26">
            <v>0</v>
          </cell>
          <cell r="I26" t="str">
            <v>Cambio de razón Social</v>
          </cell>
        </row>
        <row r="27">
          <cell r="A27">
            <v>2350347</v>
          </cell>
          <cell r="B27" t="str">
            <v>CENTRO SUR</v>
          </cell>
          <cell r="C27" t="str">
            <v>CONCEPCION</v>
          </cell>
          <cell r="D27" t="str">
            <v>ALAIN ORELLANA NOVOA</v>
          </cell>
          <cell r="E27" t="str">
            <v>LUIS QUINTEROS QUIJADA</v>
          </cell>
          <cell r="F27" t="str">
            <v xml:space="preserve">2350347 - SOCIEDAD DE  GASTRONOMIA Y BARES SPA         </v>
          </cell>
          <cell r="G27">
            <v>0</v>
          </cell>
          <cell r="H27">
            <v>0</v>
          </cell>
          <cell r="I27" t="str">
            <v>Cliente con término de giro, se retiró 100% de activos</v>
          </cell>
          <cell r="J27" t="str">
            <v>se retiraron los equipos y se envió a judicial.</v>
          </cell>
        </row>
        <row r="28">
          <cell r="A28">
            <v>2009257</v>
          </cell>
          <cell r="B28" t="str">
            <v>CENTRO SUR</v>
          </cell>
          <cell r="C28" t="str">
            <v>CONCEPCION</v>
          </cell>
          <cell r="D28" t="str">
            <v>ALAIN ORELLANA NOVOA</v>
          </cell>
          <cell r="E28" t="str">
            <v>NELSON MORA CORREA</v>
          </cell>
          <cell r="F28" t="str">
            <v xml:space="preserve">2009257 - COMERCIAL OPAZO FIGUEROA SPA                 </v>
          </cell>
          <cell r="G28">
            <v>0</v>
          </cell>
          <cell r="H28">
            <v>0</v>
          </cell>
          <cell r="I28" t="str">
            <v>Cliente Fugado</v>
          </cell>
        </row>
        <row r="29">
          <cell r="A29">
            <v>2328358</v>
          </cell>
          <cell r="B29" t="str">
            <v>CENTRO SUR</v>
          </cell>
          <cell r="C29" t="str">
            <v>CONCEPCION</v>
          </cell>
          <cell r="D29" t="str">
            <v>ANGELO VERA BARLARO</v>
          </cell>
          <cell r="E29" t="str">
            <v>CAMILA IBARRA</v>
          </cell>
          <cell r="F29" t="str">
            <v xml:space="preserve">2328358 - GONZALEZ HERRAN SERVICIOS GASTRONOMICOS SPA  </v>
          </cell>
          <cell r="G29">
            <v>0</v>
          </cell>
          <cell r="H29">
            <v>0</v>
          </cell>
          <cell r="I29" t="str">
            <v>Cliente con término de giro, se retiró 100% de activos</v>
          </cell>
        </row>
        <row r="30">
          <cell r="A30">
            <v>2141982</v>
          </cell>
          <cell r="B30" t="str">
            <v>CENTRO SUR</v>
          </cell>
          <cell r="C30" t="str">
            <v>CONCEPCION</v>
          </cell>
          <cell r="D30" t="str">
            <v>CRISTIAN VARGAS GODOY</v>
          </cell>
          <cell r="E30" t="str">
            <v>SERGIO MACAYA QUINIMIL</v>
          </cell>
          <cell r="F30" t="str">
            <v xml:space="preserve">2141982 - GASTRONOMICA RAFAELA SPA                     </v>
          </cell>
          <cell r="G30">
            <v>0</v>
          </cell>
          <cell r="H30">
            <v>0</v>
          </cell>
          <cell r="I30" t="str">
            <v>Cambio de razón Social</v>
          </cell>
        </row>
        <row r="31">
          <cell r="A31">
            <v>2132630</v>
          </cell>
          <cell r="B31" t="str">
            <v>CENTRO SUR</v>
          </cell>
          <cell r="C31" t="str">
            <v>CONCEPCION</v>
          </cell>
          <cell r="D31" t="str">
            <v>JOSE LEONELLI REGLA</v>
          </cell>
          <cell r="E31" t="str">
            <v>PATRICIO FERRADA ROJAS</v>
          </cell>
          <cell r="F31" t="str">
            <v xml:space="preserve">2132630 - CENTRO DE EVENTOS EL BALCON                  </v>
          </cell>
          <cell r="G31">
            <v>0</v>
          </cell>
          <cell r="H31">
            <v>0</v>
          </cell>
          <cell r="I31" t="str">
            <v>Cliente con término de giro, se retiró 100% de activos</v>
          </cell>
        </row>
        <row r="32">
          <cell r="A32">
            <v>1382314</v>
          </cell>
          <cell r="B32" t="str">
            <v>CENTRO SUR</v>
          </cell>
          <cell r="C32" t="str">
            <v>CURICO/TALCA</v>
          </cell>
          <cell r="D32" t="str">
            <v>CLAUDIO CACERES CACERES</v>
          </cell>
          <cell r="E32" t="str">
            <v>CARLOS BRUNEL QUINTEROS</v>
          </cell>
          <cell r="F32" t="str">
            <v xml:space="preserve">1382314 - YAÑEZ NAVARRETE GABRIEL                      </v>
          </cell>
          <cell r="G32">
            <v>0</v>
          </cell>
          <cell r="H32">
            <v>0</v>
          </cell>
          <cell r="I32" t="str">
            <v>Cambio de razón Social</v>
          </cell>
        </row>
        <row r="33">
          <cell r="A33">
            <v>2282496</v>
          </cell>
          <cell r="B33" t="str">
            <v>CENTRO SUR</v>
          </cell>
          <cell r="C33" t="str">
            <v>CURICO/TALCA</v>
          </cell>
          <cell r="D33" t="str">
            <v>CLAUDIO CACERES CACERES</v>
          </cell>
          <cell r="E33" t="str">
            <v>MATIAS CASTILLO COLIMAN</v>
          </cell>
          <cell r="F33" t="str">
            <v xml:space="preserve">2282496 - SOCIEDAD ALIMENTICIA DEL SUR                 </v>
          </cell>
          <cell r="G33">
            <v>1</v>
          </cell>
          <cell r="H33">
            <v>6</v>
          </cell>
          <cell r="I33" t="str">
            <v>Otro (Especificar Columna J)</v>
          </cell>
          <cell r="J33" t="str">
            <v xml:space="preserve">Se cambio una columna Cristal por la genérica </v>
          </cell>
        </row>
        <row r="34">
          <cell r="A34">
            <v>560354</v>
          </cell>
          <cell r="B34" t="str">
            <v>CENTRO SUR</v>
          </cell>
          <cell r="C34" t="str">
            <v>CURICO/TALCA</v>
          </cell>
          <cell r="D34" t="str">
            <v>LUIS CARDENAS TORRES</v>
          </cell>
          <cell r="E34" t="str">
            <v>CLAUDIO MORALES RAMIREZ</v>
          </cell>
          <cell r="F34" t="str">
            <v xml:space="preserve">560354 - ALVARADO VERGARA MARIA                       </v>
          </cell>
          <cell r="G34">
            <v>1</v>
          </cell>
          <cell r="H34">
            <v>2</v>
          </cell>
          <cell r="I34" t="str">
            <v>Regularización en sistema, cliente contaba con menos salidas de las indicadas</v>
          </cell>
        </row>
        <row r="35">
          <cell r="A35">
            <v>2330247</v>
          </cell>
          <cell r="B35" t="str">
            <v>CENTRO SUR</v>
          </cell>
          <cell r="C35" t="str">
            <v>CURICO/TALCA</v>
          </cell>
          <cell r="D35" t="str">
            <v>LUIS SALCEDO PASSALACGUA</v>
          </cell>
          <cell r="E35" t="str">
            <v>LUIS SALCEDO PASSALACGUA</v>
          </cell>
          <cell r="F35" t="str">
            <v xml:space="preserve">2330247 - SOC. GAST. PANCHO LOCO SPA                   </v>
          </cell>
          <cell r="G35">
            <v>0</v>
          </cell>
          <cell r="H35">
            <v>0</v>
          </cell>
          <cell r="I35" t="str">
            <v>Cliente con término de giro, se retiró 100% de activos</v>
          </cell>
        </row>
        <row r="36">
          <cell r="A36">
            <v>890815</v>
          </cell>
          <cell r="B36" t="str">
            <v>IMAGEN STGO</v>
          </cell>
          <cell r="C36" t="str">
            <v>IMAGEN STGO</v>
          </cell>
          <cell r="D36" t="str">
            <v>FERNANDA VERGARA ARCE</v>
          </cell>
          <cell r="E36" t="str">
            <v>FERNANDA VERGARA ARCE</v>
          </cell>
          <cell r="F36" t="str">
            <v xml:space="preserve">890815 - HOTELERA PATAGONIA DOS S.A                   </v>
          </cell>
          <cell r="G36">
            <v>0</v>
          </cell>
          <cell r="H36">
            <v>0</v>
          </cell>
          <cell r="I36" t="str">
            <v>Cliente decidió dejar de trabajar con CCU</v>
          </cell>
          <cell r="J36" t="str">
            <v>Hay que retirar los activos</v>
          </cell>
        </row>
        <row r="37">
          <cell r="A37">
            <v>2397438</v>
          </cell>
          <cell r="B37" t="str">
            <v>IMAGEN STGO</v>
          </cell>
          <cell r="C37" t="str">
            <v>IMAGEN STGO</v>
          </cell>
          <cell r="D37" t="str">
            <v>GUILLERMO RETAMALES MATUS</v>
          </cell>
          <cell r="E37" t="str">
            <v>GUILLERMO RETAMALES MATUS</v>
          </cell>
          <cell r="F37" t="str">
            <v xml:space="preserve">2397438 - GASTRONÓMICA LA VIRGEN YUNGAY SPA            </v>
          </cell>
          <cell r="G37">
            <v>0</v>
          </cell>
          <cell r="H37">
            <v>0</v>
          </cell>
          <cell r="I37" t="str">
            <v>Otro (Especificar Columna J)</v>
          </cell>
          <cell r="J37" t="str">
            <v>3 salidas ccu una de cerveza propia</v>
          </cell>
        </row>
        <row r="38">
          <cell r="A38">
            <v>1398905</v>
          </cell>
          <cell r="B38" t="str">
            <v>IMAGEN STGO</v>
          </cell>
          <cell r="C38" t="str">
            <v>IMAGEN STGO</v>
          </cell>
          <cell r="D38" t="str">
            <v>MARIA DIAZ DE VALDES</v>
          </cell>
          <cell r="E38" t="str">
            <v>MARIA DIAZ DE VALDES</v>
          </cell>
          <cell r="F38" t="str">
            <v xml:space="preserve">1398905 - BAR PUB Y RESTAURANT TECLAS LIMITADA         </v>
          </cell>
          <cell r="G38">
            <v>0</v>
          </cell>
          <cell r="H38">
            <v>0</v>
          </cell>
          <cell r="I38" t="str">
            <v>Cliente con término de giro, se retiró 100% de activos</v>
          </cell>
        </row>
        <row r="39">
          <cell r="A39">
            <v>2171772</v>
          </cell>
          <cell r="B39" t="str">
            <v>IMAGEN STGO</v>
          </cell>
          <cell r="C39" t="str">
            <v>IMAGEN STGO</v>
          </cell>
          <cell r="D39" t="str">
            <v>MARIA DIAZ DE VALDES</v>
          </cell>
          <cell r="E39" t="str">
            <v>MARIA DIAZ DE VALDES</v>
          </cell>
          <cell r="F39" t="str">
            <v xml:space="preserve">2171772 - NORMANDOS SPA                                </v>
          </cell>
          <cell r="G39">
            <v>0</v>
          </cell>
          <cell r="H39">
            <v>0</v>
          </cell>
          <cell r="I39" t="str">
            <v>Cliente con término de giro, se retiró 100% de activos</v>
          </cell>
        </row>
        <row r="40">
          <cell r="A40">
            <v>705738</v>
          </cell>
          <cell r="B40" t="str">
            <v>IMAGEN STGO</v>
          </cell>
          <cell r="C40" t="str">
            <v>IMAGEN STGO</v>
          </cell>
          <cell r="D40" t="str">
            <v>MARIA DIAZ DE VALDES</v>
          </cell>
          <cell r="E40" t="str">
            <v>MARIA DIAZ DE VALDES</v>
          </cell>
          <cell r="F40" t="str">
            <v xml:space="preserve">705738 - CUATRO BARBAS LTDA                           </v>
          </cell>
          <cell r="G40">
            <v>0</v>
          </cell>
          <cell r="H40">
            <v>0</v>
          </cell>
          <cell r="I40" t="str">
            <v>Cliente con término de giro, se retiró 100% de activos</v>
          </cell>
        </row>
        <row r="41">
          <cell r="A41">
            <v>2385584</v>
          </cell>
          <cell r="B41" t="str">
            <v>IMAGEN STGO</v>
          </cell>
          <cell r="C41" t="str">
            <v>IMAGEN STGO</v>
          </cell>
          <cell r="D41" t="str">
            <v>MARIA DIAZ DE VALDES</v>
          </cell>
          <cell r="E41" t="str">
            <v>MARIA DIAZ DE VALDES</v>
          </cell>
          <cell r="F41" t="str">
            <v xml:space="preserve">2385584 - MAYAN SPA                                    </v>
          </cell>
          <cell r="G41">
            <v>0</v>
          </cell>
          <cell r="H41">
            <v>0</v>
          </cell>
          <cell r="I41" t="str">
            <v>Cliente decidió dejar de trabajar con CCU</v>
          </cell>
        </row>
        <row r="42">
          <cell r="A42">
            <v>2056927</v>
          </cell>
          <cell r="B42" t="str">
            <v>IMAGEN STGO</v>
          </cell>
          <cell r="C42" t="str">
            <v>IMAGEN STGO</v>
          </cell>
          <cell r="D42" t="str">
            <v>REBECA KEYMER CORREA</v>
          </cell>
          <cell r="E42" t="str">
            <v>REBECA KEYMER CORREA</v>
          </cell>
          <cell r="F42" t="str">
            <v xml:space="preserve">2056927 - FAMILIA FSK SPA                              </v>
          </cell>
          <cell r="G42">
            <v>0</v>
          </cell>
          <cell r="H42">
            <v>0</v>
          </cell>
          <cell r="I42" t="str">
            <v>Cliente decidió dejar de trabajar con CCU</v>
          </cell>
        </row>
        <row r="43">
          <cell r="A43">
            <v>1674996</v>
          </cell>
          <cell r="B43" t="str">
            <v>NORTE</v>
          </cell>
          <cell r="C43" t="str">
            <v>ANTOFAGASTA/CALAMA</v>
          </cell>
          <cell r="D43" t="str">
            <v>DANIEL GARCIA ROJO</v>
          </cell>
          <cell r="E43" t="str">
            <v>EDUARDO GABRIEL ROJAS GUZMAN</v>
          </cell>
          <cell r="F43" t="str">
            <v xml:space="preserve">1674996 - HOSTAL RESTAURANTE                           </v>
          </cell>
          <cell r="G43">
            <v>0</v>
          </cell>
          <cell r="H43">
            <v>0</v>
          </cell>
          <cell r="I43" t="str">
            <v>Cliente con término de giro, se retiró 100% de activos</v>
          </cell>
        </row>
        <row r="44">
          <cell r="A44">
            <v>2157102</v>
          </cell>
          <cell r="B44" t="str">
            <v>NORTE</v>
          </cell>
          <cell r="C44" t="str">
            <v>ANTOFAGASTA/CALAMA</v>
          </cell>
          <cell r="D44" t="str">
            <v>DANIEL GARCIA ROJO</v>
          </cell>
          <cell r="E44" t="str">
            <v>ELIZABETH ALEJANDRA MELO</v>
          </cell>
          <cell r="F44" t="str">
            <v xml:space="preserve">2157102 - LATINAS SPA                                  </v>
          </cell>
          <cell r="G44">
            <v>0</v>
          </cell>
          <cell r="H44">
            <v>0</v>
          </cell>
          <cell r="I44" t="str">
            <v>Cliente con término de giro, se retiró 100% de activos</v>
          </cell>
        </row>
        <row r="45">
          <cell r="A45">
            <v>2291407</v>
          </cell>
          <cell r="B45" t="str">
            <v>NORTE</v>
          </cell>
          <cell r="C45" t="str">
            <v>ANTOFAGASTA/CALAMA</v>
          </cell>
          <cell r="D45" t="str">
            <v>DANIEL GARCIA ROJO</v>
          </cell>
          <cell r="E45" t="str">
            <v>LUIS PAILLAHUEQUE ARCOS</v>
          </cell>
          <cell r="F45" t="str">
            <v xml:space="preserve">2291407 - ARVALVID LIMITADA                            </v>
          </cell>
          <cell r="G45">
            <v>0</v>
          </cell>
          <cell r="H45">
            <v>0</v>
          </cell>
          <cell r="I45" t="str">
            <v>Cambio de razón Social</v>
          </cell>
        </row>
        <row r="46">
          <cell r="A46">
            <v>1571930</v>
          </cell>
          <cell r="B46" t="str">
            <v>NORTE</v>
          </cell>
          <cell r="C46" t="str">
            <v>ANTOFAGASTA/CALAMA</v>
          </cell>
          <cell r="D46" t="str">
            <v>DANIEL GARCIA ROJO</v>
          </cell>
          <cell r="E46" t="str">
            <v>RODRIGO ALEJANDRO VARGAS JARA</v>
          </cell>
          <cell r="F46" t="str">
            <v xml:space="preserve">1571930 - ELSA ZÁRATE TAPIA                            </v>
          </cell>
          <cell r="G46">
            <v>1</v>
          </cell>
          <cell r="H46">
            <v>3</v>
          </cell>
          <cell r="I46" t="str">
            <v>Cambio de razón Social</v>
          </cell>
        </row>
        <row r="47">
          <cell r="A47">
            <v>793586</v>
          </cell>
          <cell r="B47" t="str">
            <v>NORTE</v>
          </cell>
          <cell r="C47" t="str">
            <v>ANTOFAGASTA/CALAMA</v>
          </cell>
          <cell r="D47" t="str">
            <v>NELSON MIRANDA ROJAS</v>
          </cell>
          <cell r="E47" t="str">
            <v>CRISTIAN SANCHEZ EZPINOZA</v>
          </cell>
          <cell r="F47" t="str">
            <v>793586 - SOC COMERCIAL Y DE INVERSIONES SAN LORENZO LT</v>
          </cell>
          <cell r="G47">
            <v>0</v>
          </cell>
          <cell r="H47">
            <v>0</v>
          </cell>
          <cell r="I47" t="str">
            <v>Cliente con término de giro, se retiró 100% de activos</v>
          </cell>
        </row>
        <row r="48">
          <cell r="A48">
            <v>1500617</v>
          </cell>
          <cell r="B48" t="str">
            <v>NORTE</v>
          </cell>
          <cell r="C48" t="str">
            <v>ANTOFAGASTA/CALAMA</v>
          </cell>
          <cell r="D48" t="str">
            <v>NELSON MIRANDA ROJAS</v>
          </cell>
          <cell r="E48" t="str">
            <v>SERGIO BARRAZA BERNAL</v>
          </cell>
          <cell r="F48" t="str">
            <v xml:space="preserve">1500617 - EVENTOS Y PRODUCCIONES ATACAMA               </v>
          </cell>
          <cell r="G48">
            <v>2</v>
          </cell>
          <cell r="H48">
            <v>4</v>
          </cell>
          <cell r="I48" t="str">
            <v>Otro (Especificar Columna J)</v>
          </cell>
          <cell r="J48" t="str">
            <v>Cliente Atacama no se disminuyo salidas se cambio columna 12 S</v>
          </cell>
        </row>
        <row r="49">
          <cell r="A49">
            <v>1343167</v>
          </cell>
          <cell r="B49" t="str">
            <v>NORTE</v>
          </cell>
          <cell r="C49" t="str">
            <v>ANTOFAGASTA/CALAMA</v>
          </cell>
          <cell r="D49" t="str">
            <v>NELSON MIRANDA ROJAS</v>
          </cell>
          <cell r="E49" t="str">
            <v>SERGIO BARRAZA BERNAL</v>
          </cell>
          <cell r="F49" t="str">
            <v xml:space="preserve">1343167 - JAY INVERSIONES SPA                          </v>
          </cell>
          <cell r="G49">
            <v>0</v>
          </cell>
          <cell r="H49">
            <v>0</v>
          </cell>
          <cell r="I49" t="str">
            <v>Cliente con término de giro, se retiró 100% de activos</v>
          </cell>
        </row>
        <row r="50">
          <cell r="A50">
            <v>2329895</v>
          </cell>
          <cell r="B50" t="str">
            <v>NORTE</v>
          </cell>
          <cell r="C50" t="str">
            <v>ARICA/IQUIQUE</v>
          </cell>
          <cell r="D50" t="str">
            <v>JORGE FLORES MORALES</v>
          </cell>
          <cell r="E50" t="str">
            <v>RONALD MAZUELA CALABACERO</v>
          </cell>
          <cell r="F50" t="str">
            <v xml:space="preserve">2329895 - SANDRA F RODRIGUEZ FUENZALIDA E.I.R.L        </v>
          </cell>
          <cell r="G50">
            <v>0</v>
          </cell>
          <cell r="H50">
            <v>0</v>
          </cell>
          <cell r="I50" t="str">
            <v>Cliente con término de giro, se retiró 100% de activos</v>
          </cell>
        </row>
        <row r="51">
          <cell r="A51">
            <v>2384005</v>
          </cell>
          <cell r="B51" t="str">
            <v>NORTE</v>
          </cell>
          <cell r="C51" t="str">
            <v>ARICA/IQUIQUE</v>
          </cell>
          <cell r="D51" t="str">
            <v>JORGE FLORES MORALES</v>
          </cell>
          <cell r="E51" t="str">
            <v>VIRTUAL</v>
          </cell>
          <cell r="F51" t="str">
            <v xml:space="preserve">2384005 - SODEXO CHILE SPA                             </v>
          </cell>
          <cell r="G51">
            <v>2</v>
          </cell>
          <cell r="H51">
            <v>2</v>
          </cell>
          <cell r="I51" t="str">
            <v>Cliente con baja rotación, solicitó disminuir salidas</v>
          </cell>
        </row>
        <row r="52">
          <cell r="A52">
            <v>2271970</v>
          </cell>
          <cell r="B52" t="str">
            <v>NORTE</v>
          </cell>
          <cell r="C52" t="str">
            <v>ARICA/IQUIQUE</v>
          </cell>
          <cell r="D52" t="str">
            <v>JORGE GOMEZ PACHECO</v>
          </cell>
          <cell r="E52" t="str">
            <v>RODRIGO ANDRADE HENRIQUEZ</v>
          </cell>
          <cell r="F52" t="str">
            <v xml:space="preserve">2271970 - STREET SPA                                   </v>
          </cell>
          <cell r="G52">
            <v>0</v>
          </cell>
          <cell r="H52">
            <v>0</v>
          </cell>
          <cell r="I52" t="str">
            <v>Cliente perdió patente de alcoholes</v>
          </cell>
          <cell r="J52" t="str">
            <v>Patente por temporada de Verano</v>
          </cell>
        </row>
        <row r="53">
          <cell r="A53">
            <v>845949</v>
          </cell>
          <cell r="B53" t="str">
            <v>NORTE</v>
          </cell>
          <cell r="C53" t="str">
            <v>ARICA/IQUIQUE</v>
          </cell>
          <cell r="D53" t="str">
            <v>MICHELLE HENRIQUEZ MADRID</v>
          </cell>
          <cell r="E53" t="str">
            <v>VENDEDOR IMAGEN IQUIQUE</v>
          </cell>
          <cell r="F53" t="str">
            <v xml:space="preserve">845949 - PANIAGUAS S PUB LTDA                         </v>
          </cell>
          <cell r="G53">
            <v>0</v>
          </cell>
          <cell r="H53">
            <v>0</v>
          </cell>
          <cell r="I53" t="str">
            <v>Cliente decidió dejar de trabajar el formato schop</v>
          </cell>
        </row>
        <row r="54">
          <cell r="A54">
            <v>2325875</v>
          </cell>
          <cell r="B54" t="str">
            <v>NORTE</v>
          </cell>
          <cell r="C54" t="str">
            <v>ARICA/IQUIQUE</v>
          </cell>
          <cell r="D54" t="str">
            <v>MIGUEL RAMIREZ ARAVENA</v>
          </cell>
          <cell r="E54" t="str">
            <v>ANDRES ARRIAGADA SOTO</v>
          </cell>
          <cell r="F54" t="str">
            <v xml:space="preserve">2325875 - RESTOBAR SCHOP 18 RAFAEL BARBOZA VALDEZ      </v>
          </cell>
          <cell r="G54">
            <v>0</v>
          </cell>
          <cell r="H54">
            <v>0</v>
          </cell>
          <cell r="I54" t="str">
            <v>Cliente decidió dejar de trabajar el formato schop</v>
          </cell>
        </row>
        <row r="55">
          <cell r="A55">
            <v>2207632</v>
          </cell>
          <cell r="B55" t="str">
            <v>NORTE</v>
          </cell>
          <cell r="C55" t="str">
            <v>COPIAPO/VALLENAR</v>
          </cell>
          <cell r="D55" t="str">
            <v>CARLOS ANDRES SILVA LAGUES</v>
          </cell>
          <cell r="E55" t="str">
            <v>ANDRES CORTES CORTES</v>
          </cell>
          <cell r="F55" t="str">
            <v xml:space="preserve">2207632 - INVERSIONES  J J SPA                         </v>
          </cell>
          <cell r="G55">
            <v>0</v>
          </cell>
          <cell r="H55">
            <v>0</v>
          </cell>
          <cell r="I55" t="str">
            <v>Cambio de razón Social</v>
          </cell>
        </row>
        <row r="56">
          <cell r="A56">
            <v>711571</v>
          </cell>
          <cell r="B56" t="str">
            <v>NORTE</v>
          </cell>
          <cell r="C56" t="str">
            <v>COPIAPO/VALLENAR</v>
          </cell>
          <cell r="D56" t="str">
            <v>CRISTIAN ROBLEDO ILLANES</v>
          </cell>
          <cell r="E56" t="str">
            <v>JONATHAN OMAR OVALLE PEREIRA</v>
          </cell>
          <cell r="F56" t="str">
            <v xml:space="preserve">711571 - RICARDO VARAS ARACENAS                       </v>
          </cell>
          <cell r="G56">
            <v>0</v>
          </cell>
          <cell r="H56">
            <v>0</v>
          </cell>
          <cell r="I56" t="str">
            <v>Cambio de razón Social</v>
          </cell>
        </row>
        <row r="57">
          <cell r="A57">
            <v>504027</v>
          </cell>
          <cell r="B57" t="str">
            <v>NORTE</v>
          </cell>
          <cell r="C57" t="str">
            <v>COPIAPO/VALLENAR</v>
          </cell>
          <cell r="D57" t="str">
            <v>CRISTIAN ROBLEDO ILLANES</v>
          </cell>
          <cell r="E57" t="str">
            <v>LUIS ORLANDO CARVAJAL RUIZ</v>
          </cell>
          <cell r="F57" t="str">
            <v xml:space="preserve">504027 - GUILLERMO ROMERO MARCHANT                    </v>
          </cell>
          <cell r="G57">
            <v>0</v>
          </cell>
          <cell r="H57">
            <v>0</v>
          </cell>
          <cell r="I57" t="str">
            <v>Cambio de razón Social</v>
          </cell>
        </row>
        <row r="58">
          <cell r="A58">
            <v>1523322</v>
          </cell>
          <cell r="B58" t="str">
            <v>STGO SMKT</v>
          </cell>
          <cell r="C58" t="str">
            <v xml:space="preserve">MODELO </v>
          </cell>
          <cell r="D58" t="str">
            <v>JUAN ROBERTO OSORIO</v>
          </cell>
          <cell r="E58" t="str">
            <v>RODOLFO NAVEAS LARA</v>
          </cell>
          <cell r="F58" t="str">
            <v xml:space="preserve">1523322 - MENTA FRESCA SPA                             </v>
          </cell>
          <cell r="G58">
            <v>0</v>
          </cell>
          <cell r="H58">
            <v>0</v>
          </cell>
          <cell r="I58" t="str">
            <v>Cliente con término de giro, se retiró 100% de activos</v>
          </cell>
        </row>
        <row r="59">
          <cell r="A59">
            <v>2058151</v>
          </cell>
          <cell r="B59" t="str">
            <v>STGO SMKT</v>
          </cell>
          <cell r="C59" t="str">
            <v>CADENAS</v>
          </cell>
          <cell r="D59" t="str">
            <v>PATRICIO VARGAS MARTINEZ</v>
          </cell>
          <cell r="E59" t="str">
            <v>JUAN FEMENIAS LABRINO</v>
          </cell>
          <cell r="F59" t="str">
            <v xml:space="preserve">2058151 - THREE FROGS SPA                              </v>
          </cell>
          <cell r="G59">
            <v>0</v>
          </cell>
          <cell r="H59">
            <v>0</v>
          </cell>
          <cell r="I59" t="str">
            <v>Otro (Especificar Columna J)</v>
          </cell>
          <cell r="J59" t="str">
            <v>ID desprogramado</v>
          </cell>
        </row>
        <row r="60">
          <cell r="A60">
            <v>1809394</v>
          </cell>
          <cell r="B60" t="str">
            <v>STGO SMKT</v>
          </cell>
          <cell r="C60" t="str">
            <v>CADENAS</v>
          </cell>
          <cell r="D60" t="str">
            <v>PATRICIO VARGAS MARTINEZ</v>
          </cell>
          <cell r="E60" t="str">
            <v>JUAN FEMENIAS LABRINO</v>
          </cell>
          <cell r="F60" t="str">
            <v xml:space="preserve">1809394 - SERV GAST VICENTE GARCIA ANAIS EIRL          </v>
          </cell>
          <cell r="G60">
            <v>0</v>
          </cell>
          <cell r="H60">
            <v>0</v>
          </cell>
          <cell r="I60" t="str">
            <v>Otro (Especificar Columna J)</v>
          </cell>
          <cell r="J60" t="str">
            <v>ID desprogramado</v>
          </cell>
        </row>
        <row r="61">
          <cell r="A61">
            <v>1310837</v>
          </cell>
          <cell r="B61" t="str">
            <v>STGO SMKT</v>
          </cell>
          <cell r="C61" t="str">
            <v>CADENAS</v>
          </cell>
          <cell r="D61" t="str">
            <v>PATRICIO VARGAS MARTINEZ</v>
          </cell>
          <cell r="E61" t="str">
            <v>JUAN TOLEDO SUAZO</v>
          </cell>
          <cell r="F61" t="str">
            <v xml:space="preserve">1310837 - ALIMENTOS RAPEL S.A.                         </v>
          </cell>
          <cell r="G61">
            <v>0</v>
          </cell>
          <cell r="H61">
            <v>0</v>
          </cell>
          <cell r="I61" t="str">
            <v>Otro (Especificar Columna J)</v>
          </cell>
          <cell r="J61" t="str">
            <v>Razon social no existe, ahora es Rap 22. Vendedor tiene que modificar los activos</v>
          </cell>
        </row>
        <row r="62">
          <cell r="A62">
            <v>677760</v>
          </cell>
          <cell r="B62" t="str">
            <v>STGO SMKT</v>
          </cell>
          <cell r="C62" t="str">
            <v>CADENAS</v>
          </cell>
          <cell r="D62" t="str">
            <v>PATRICIO VARGAS MARTINEZ</v>
          </cell>
          <cell r="E62" t="str">
            <v>JUAN TOLEDO SUAZO</v>
          </cell>
          <cell r="F62" t="str">
            <v xml:space="preserve">677760 - ALIMENTOS ROASTY POINT LTDA                  </v>
          </cell>
          <cell r="G62">
            <v>0</v>
          </cell>
          <cell r="H62">
            <v>0</v>
          </cell>
          <cell r="I62" t="str">
            <v>Otro (Especificar Columna J)</v>
          </cell>
          <cell r="J62" t="str">
            <v xml:space="preserve">Termino de Giro </v>
          </cell>
        </row>
        <row r="63">
          <cell r="A63">
            <v>2342167</v>
          </cell>
          <cell r="B63" t="str">
            <v>STGO/RANCAGUA</v>
          </cell>
          <cell r="C63" t="str">
            <v>LA FLORIDA</v>
          </cell>
          <cell r="D63" t="str">
            <v>MARIA CONSUELO PONCE JORQUERA</v>
          </cell>
          <cell r="E63" t="str">
            <v>MAURICIO MORALES MAUREIRA</v>
          </cell>
          <cell r="F63" t="str">
            <v xml:space="preserve">2342167 - INVERSIONES ALFARO Y DEL VALLE SPA           </v>
          </cell>
          <cell r="G63">
            <v>0</v>
          </cell>
          <cell r="H63">
            <v>0</v>
          </cell>
          <cell r="I63" t="str">
            <v>Otro (Especificar Columna J)</v>
          </cell>
          <cell r="J63" t="str">
            <v>Cliente cambio de dirección y fue creado con nuevo Id (2425128) mantiene las mismas salidas</v>
          </cell>
        </row>
        <row r="64">
          <cell r="A64">
            <v>1747331</v>
          </cell>
          <cell r="B64" t="str">
            <v>STGO/RANCAGUA</v>
          </cell>
          <cell r="C64" t="str">
            <v>MAIPU</v>
          </cell>
          <cell r="D64" t="str">
            <v>MAURICIO LOPEZ ACUNA</v>
          </cell>
          <cell r="E64" t="str">
            <v>MIGUEL CASANUEVA HONORATO</v>
          </cell>
          <cell r="F64" t="str">
            <v>1747331 - RESTAURANT DIEGO R. MONARDES SAAVEDRA E.I.R.L</v>
          </cell>
          <cell r="G64">
            <v>0</v>
          </cell>
          <cell r="H64">
            <v>0</v>
          </cell>
          <cell r="I64" t="str">
            <v>Cambio de razón Social</v>
          </cell>
          <cell r="J64" t="str">
            <v>Nuevo ID 2363360, nuevo local tiene salidas propias (de las cuales 4 de 6 son marcas CCU, se retiraron todas las salidas CCU</v>
          </cell>
        </row>
        <row r="65">
          <cell r="A65">
            <v>2311174</v>
          </cell>
          <cell r="B65" t="str">
            <v>STGO/RANCAGUA</v>
          </cell>
          <cell r="C65" t="str">
            <v>MAIPU</v>
          </cell>
          <cell r="D65" t="str">
            <v>MAURICIO LOPEZ ACUNA</v>
          </cell>
          <cell r="E65" t="str">
            <v>YERKO SALAZAR JORQUERA</v>
          </cell>
          <cell r="F65" t="str">
            <v xml:space="preserve">2311174 - RUIZ ZAGAL SPA                               </v>
          </cell>
          <cell r="G65">
            <v>0</v>
          </cell>
          <cell r="H65">
            <v>0</v>
          </cell>
          <cell r="I65" t="str">
            <v>Cambio de razón Social</v>
          </cell>
          <cell r="J65" t="str">
            <v>Nuevo ID 2438953, se traspasaron salidas a nuevo ID.</v>
          </cell>
        </row>
        <row r="66">
          <cell r="A66">
            <v>672570</v>
          </cell>
          <cell r="B66" t="str">
            <v>STGO/RANCAGUA</v>
          </cell>
          <cell r="C66" t="str">
            <v>MODELO</v>
          </cell>
          <cell r="D66" t="str">
            <v>FELIPE TUDEZCA PARODI</v>
          </cell>
          <cell r="E66" t="str">
            <v>FERNANDO CORTEZ RODRIGUEZ</v>
          </cell>
          <cell r="F66" t="str">
            <v xml:space="preserve">672570 - COM CAIMEI CHAI MA E I R                     </v>
          </cell>
          <cell r="G66">
            <v>0</v>
          </cell>
          <cell r="H66">
            <v>0</v>
          </cell>
          <cell r="I66" t="str">
            <v>Cliente Fugado</v>
          </cell>
        </row>
        <row r="67">
          <cell r="A67">
            <v>2220709</v>
          </cell>
          <cell r="B67" t="str">
            <v>STGO/RANCAGUA</v>
          </cell>
          <cell r="C67" t="str">
            <v>MODELO</v>
          </cell>
          <cell r="D67" t="str">
            <v>FELIPE TUDEZCA PARODI</v>
          </cell>
          <cell r="E67" t="str">
            <v>FERNANDO CORTEZ RODRIGUEZ</v>
          </cell>
          <cell r="F67" t="str">
            <v xml:space="preserve">2220709 - EMPRESA COMERCIAL ROHAN VIJAY JADHWANY IRL   </v>
          </cell>
          <cell r="G67">
            <v>0</v>
          </cell>
          <cell r="H67">
            <v>0</v>
          </cell>
          <cell r="I67" t="str">
            <v>Cliente Fugado</v>
          </cell>
        </row>
        <row r="68">
          <cell r="A68">
            <v>2360274</v>
          </cell>
          <cell r="B68" t="str">
            <v>STGO/RANCAGUA</v>
          </cell>
          <cell r="C68" t="str">
            <v>MODELO</v>
          </cell>
          <cell r="D68" t="str">
            <v>FELIPE TUDEZCA PARODI</v>
          </cell>
          <cell r="E68" t="str">
            <v>FERNANDO CORTEZ RODRIGUEZ</v>
          </cell>
          <cell r="F68" t="str">
            <v xml:space="preserve">2360274 - VENTA ALIMENTOS CHILE LIMITADA               </v>
          </cell>
          <cell r="G68">
            <v>0</v>
          </cell>
          <cell r="H68">
            <v>0</v>
          </cell>
          <cell r="I68" t="str">
            <v>Cliente Fugado</v>
          </cell>
        </row>
        <row r="69">
          <cell r="A69">
            <v>2159208</v>
          </cell>
          <cell r="B69" t="str">
            <v>STGO/RANCAGUA</v>
          </cell>
          <cell r="C69" t="str">
            <v>MODELO</v>
          </cell>
          <cell r="D69" t="str">
            <v>FELIPE TUDEZCA PARODI</v>
          </cell>
          <cell r="E69" t="str">
            <v>FERNANDO CORTEZ RODRIGUEZ</v>
          </cell>
          <cell r="F69" t="str">
            <v xml:space="preserve">2159208 - SOC GASTRON E INV AMPAVY SPA                 </v>
          </cell>
          <cell r="G69">
            <v>0</v>
          </cell>
          <cell r="H69">
            <v>0</v>
          </cell>
          <cell r="I69" t="str">
            <v>Cliente Fugado</v>
          </cell>
        </row>
        <row r="70">
          <cell r="A70">
            <v>2414099</v>
          </cell>
          <cell r="B70" t="str">
            <v>STGO/RANCAGUA</v>
          </cell>
          <cell r="C70" t="str">
            <v>MODELO</v>
          </cell>
          <cell r="D70" t="str">
            <v>FELIPE TUDEZCA PARODI</v>
          </cell>
          <cell r="E70" t="str">
            <v>PEDRO ALEJANDRO AMARISTA</v>
          </cell>
          <cell r="F70" t="str">
            <v xml:space="preserve">2414099 - ZHONG LI LIMITADA                            </v>
          </cell>
          <cell r="G70">
            <v>1</v>
          </cell>
          <cell r="H70">
            <v>3</v>
          </cell>
          <cell r="I70" t="str">
            <v>Otro (Especificar Columna J)</v>
          </cell>
          <cell r="J70" t="str">
            <v>Se le cambia maquina de schop (pasa de una de 4 salidas a una de 3) para cumplir acuerdo de FNE</v>
          </cell>
        </row>
        <row r="71">
          <cell r="A71">
            <v>2364254</v>
          </cell>
          <cell r="B71" t="str">
            <v>STGO/RANCAGUA</v>
          </cell>
          <cell r="C71" t="str">
            <v>MODELO</v>
          </cell>
          <cell r="D71" t="str">
            <v>FELIPE TUDEZCA PARODI</v>
          </cell>
          <cell r="E71" t="str">
            <v>PEDRO ALEJANDRO AMARISTA</v>
          </cell>
          <cell r="F71" t="str">
            <v xml:space="preserve">2364254 - INVERSIONES NARCISSE`S SPA                   </v>
          </cell>
          <cell r="G71">
            <v>0</v>
          </cell>
          <cell r="H71">
            <v>0</v>
          </cell>
          <cell r="I71" t="str">
            <v>Cliente con término de giro, se retiró 100% de activos</v>
          </cell>
        </row>
        <row r="72">
          <cell r="A72">
            <v>2336435</v>
          </cell>
          <cell r="B72" t="str">
            <v>STGO/RANCAGUA</v>
          </cell>
          <cell r="C72" t="str">
            <v>MODELO</v>
          </cell>
          <cell r="D72" t="str">
            <v>JUAN ROBERTO OSORIO</v>
          </cell>
          <cell r="E72" t="str">
            <v>CLAUDIO MUNOZ MARTINEZ</v>
          </cell>
          <cell r="F72" t="str">
            <v xml:space="preserve">2336435 - GASTRONÓMICA 70 SPA                          </v>
          </cell>
          <cell r="G72">
            <v>0</v>
          </cell>
          <cell r="H72">
            <v>0</v>
          </cell>
          <cell r="I72" t="str">
            <v>Cliente instaló maquina propia y/o de la competencia y solicitó retiro de las nuestras</v>
          </cell>
        </row>
        <row r="73">
          <cell r="A73">
            <v>2214392</v>
          </cell>
          <cell r="B73" t="str">
            <v>STGO/RANCAGUA</v>
          </cell>
          <cell r="C73" t="str">
            <v>MODELO</v>
          </cell>
          <cell r="D73" t="str">
            <v>JUAN ROBERTO OSORIO</v>
          </cell>
          <cell r="E73" t="str">
            <v>CLAUDIO MUNOZ MARTINEZ</v>
          </cell>
          <cell r="F73" t="str">
            <v xml:space="preserve">2214392 - SOCIEDAD GASTRONÓMICA BAMBU SPA              </v>
          </cell>
          <cell r="G73">
            <v>0</v>
          </cell>
          <cell r="H73">
            <v>0</v>
          </cell>
          <cell r="I73" t="str">
            <v>Cliente con término de giro, se retiró 100% de activos</v>
          </cell>
        </row>
        <row r="74">
          <cell r="A74">
            <v>670509</v>
          </cell>
          <cell r="B74" t="str">
            <v>STGO/RANCAGUA</v>
          </cell>
          <cell r="C74" t="str">
            <v>MODELO</v>
          </cell>
          <cell r="D74" t="str">
            <v>JUAN ROBERTO OSORIO</v>
          </cell>
          <cell r="E74" t="str">
            <v>ROBINSON OSPINA ABRIL</v>
          </cell>
          <cell r="F74" t="str">
            <v xml:space="preserve">670509 - CAROLINA GONZALEZ DURAN                      </v>
          </cell>
          <cell r="G74">
            <v>0</v>
          </cell>
          <cell r="H74">
            <v>0</v>
          </cell>
          <cell r="I74" t="str">
            <v>Cliente instaló maquina propia y/o de la competencia y solicitó retiro de las nuestras</v>
          </cell>
        </row>
        <row r="75">
          <cell r="A75">
            <v>2331199</v>
          </cell>
          <cell r="B75" t="str">
            <v>STGO/RANCAGUA</v>
          </cell>
          <cell r="C75" t="str">
            <v>PIRAMIDE</v>
          </cell>
          <cell r="D75" t="str">
            <v>LUIS ZUNIGA FRERAUT</v>
          </cell>
          <cell r="E75" t="str">
            <v>PATRICIO PINOCHET LOYOLA</v>
          </cell>
          <cell r="F75" t="str">
            <v xml:space="preserve">2331199 - CADENA DE RESTOBAR MALOS AMIGOS SPA          </v>
          </cell>
          <cell r="G75">
            <v>0</v>
          </cell>
          <cell r="H75">
            <v>0</v>
          </cell>
          <cell r="I75" t="str">
            <v>Cambio de razón Social</v>
          </cell>
          <cell r="J75" t="str">
            <v xml:space="preserve">Cambió a 2424035 - ARIEL GUTIERREZ ARAYA RESTAURANT EIRL        </v>
          </cell>
        </row>
        <row r="76">
          <cell r="A76">
            <v>2290332</v>
          </cell>
          <cell r="B76" t="str">
            <v>STGO/RANCAGUA</v>
          </cell>
          <cell r="C76" t="str">
            <v>RANCAGUA</v>
          </cell>
          <cell r="D76" t="str">
            <v>CRISTIAN MATURANA PARRAGUEZ</v>
          </cell>
          <cell r="E76" t="str">
            <v>RAFAEL PEREZ</v>
          </cell>
          <cell r="F76" t="str">
            <v xml:space="preserve">2290332 - COCINA ESTUDIO SPA                           </v>
          </cell>
          <cell r="G76">
            <v>0</v>
          </cell>
          <cell r="H76">
            <v>0</v>
          </cell>
          <cell r="I76" t="str">
            <v>Cambio de razón Social</v>
          </cell>
          <cell r="J76" t="str">
            <v>Traspaso de activos a NRS</v>
          </cell>
        </row>
        <row r="77">
          <cell r="A77">
            <v>1652970</v>
          </cell>
          <cell r="B77" t="str">
            <v>STGO/RANCAGUA</v>
          </cell>
          <cell r="C77" t="str">
            <v>RANCAGUA</v>
          </cell>
          <cell r="D77" t="str">
            <v>FRANCISCO URREA</v>
          </cell>
          <cell r="E77" t="str">
            <v>PEDRO FRANCISCO LIZANA</v>
          </cell>
          <cell r="F77" t="str">
            <v xml:space="preserve">1652970 - EMPORIO SIMPLE FOOD SPA                      </v>
          </cell>
          <cell r="G77">
            <v>0</v>
          </cell>
          <cell r="H77">
            <v>0</v>
          </cell>
          <cell r="I77" t="str">
            <v>Cliente con baja rotación, solicitó disminuir salidas</v>
          </cell>
          <cell r="J77" t="str">
            <v>Baja Rotacion y Frescura</v>
          </cell>
        </row>
        <row r="78">
          <cell r="A78">
            <v>1957715</v>
          </cell>
          <cell r="B78" t="str">
            <v>STGO/RANCAGUA</v>
          </cell>
          <cell r="C78" t="str">
            <v>RANCAGUA</v>
          </cell>
          <cell r="D78" t="str">
            <v>JORGE RETAMAL QUEZADA</v>
          </cell>
          <cell r="E78" t="str">
            <v>VENDEDOR IMAGEN RANCAGUA</v>
          </cell>
          <cell r="F78" t="str">
            <v xml:space="preserve">1957715 - EXPERIENCIA GOURMET SPA                      </v>
          </cell>
          <cell r="G78">
            <v>6</v>
          </cell>
          <cell r="H78">
            <v>19</v>
          </cell>
          <cell r="I78" t="str">
            <v>Otro (Especificar Columna J)</v>
          </cell>
          <cell r="J78" t="str">
            <v>Cerro 2 de los 5 locales que tiene</v>
          </cell>
        </row>
        <row r="79">
          <cell r="A79">
            <v>598969</v>
          </cell>
          <cell r="B79" t="str">
            <v>STGO/RANCAGUA</v>
          </cell>
          <cell r="C79" t="str">
            <v>RANCAGUA</v>
          </cell>
          <cell r="D79" t="str">
            <v>JORGE RETAMAL QUEZADA</v>
          </cell>
          <cell r="E79" t="str">
            <v>VENDEDOR IMAGEN SAN FERNANDO</v>
          </cell>
          <cell r="F79" t="str">
            <v xml:space="preserve">598969 - HOTEL STA.CRUZ PLAZA S.A.                    </v>
          </cell>
          <cell r="G79">
            <v>0</v>
          </cell>
          <cell r="H79">
            <v>0</v>
          </cell>
          <cell r="I79" t="str">
            <v>Cliente decidió dejar de trabajar el formato schop</v>
          </cell>
          <cell r="J79" t="str">
            <v>Baja Rotacion y Frescura</v>
          </cell>
        </row>
        <row r="80">
          <cell r="A80">
            <v>596876</v>
          </cell>
          <cell r="B80" t="str">
            <v>STGO/RANCAGUA</v>
          </cell>
          <cell r="C80" t="str">
            <v>RANCAGUA</v>
          </cell>
          <cell r="D80" t="str">
            <v>JOSE ZAPATA</v>
          </cell>
          <cell r="E80" t="str">
            <v>DANYELLOW RIVERA</v>
          </cell>
          <cell r="F80" t="str">
            <v xml:space="preserve">596876 - LUIS DE LA FUENTE CASABO                     </v>
          </cell>
          <cell r="G80">
            <v>0</v>
          </cell>
          <cell r="H80">
            <v>0</v>
          </cell>
          <cell r="I80" t="str">
            <v>Cliente decidió dejar de trabajar con CCU</v>
          </cell>
          <cell r="J80" t="str">
            <v xml:space="preserve">Activo retirado </v>
          </cell>
        </row>
        <row r="81">
          <cell r="A81">
            <v>2112351</v>
          </cell>
          <cell r="B81" t="str">
            <v>STGO/RANCAGUA</v>
          </cell>
          <cell r="C81" t="str">
            <v>RANCAGUA</v>
          </cell>
          <cell r="D81" t="str">
            <v>JVTA VIRTUAL RANCAGUA</v>
          </cell>
          <cell r="E81" t="str">
            <v>VIRTUAL RANCAGUA</v>
          </cell>
          <cell r="F81" t="str">
            <v xml:space="preserve">2112351 - SOC. GAST. SANTA JOSEFINA LTDA.              </v>
          </cell>
          <cell r="G81">
            <v>0</v>
          </cell>
          <cell r="H81">
            <v>0</v>
          </cell>
          <cell r="I81" t="str">
            <v>Cliente con término de giro, se retiró 100% de activos</v>
          </cell>
          <cell r="J81" t="str">
            <v xml:space="preserve">Cliente Desprogramado </v>
          </cell>
        </row>
        <row r="82">
          <cell r="A82">
            <v>2195376</v>
          </cell>
          <cell r="B82" t="str">
            <v>STGO/RANCAGUA</v>
          </cell>
          <cell r="C82" t="str">
            <v>VESPUCIO</v>
          </cell>
          <cell r="D82" t="str">
            <v>BENZO ISAMBERT RODRIGUEZ</v>
          </cell>
          <cell r="E82" t="str">
            <v>SEBASTIAN CASTRO MADRID</v>
          </cell>
          <cell r="F82" t="str">
            <v xml:space="preserve">2195376 - SABOR MEDITERRANEO SPA                       </v>
          </cell>
          <cell r="G82">
            <v>0</v>
          </cell>
          <cell r="H82">
            <v>0</v>
          </cell>
          <cell r="I82" t="str">
            <v>Cambio de razón Social</v>
          </cell>
          <cell r="J82" t="str">
            <v>ID 2442193</v>
          </cell>
        </row>
        <row r="83">
          <cell r="A83">
            <v>2352188</v>
          </cell>
          <cell r="B83" t="str">
            <v>STGO/RANCAGUA</v>
          </cell>
          <cell r="C83" t="str">
            <v>VESPUCIO</v>
          </cell>
          <cell r="D83" t="str">
            <v>CAMILA VILLARROEL GONZALEZ</v>
          </cell>
          <cell r="E83" t="str">
            <v>ALVARO ALVARADO SAN MARTIN</v>
          </cell>
          <cell r="F83" t="str">
            <v xml:space="preserve">2352188 - LA VUELTA DE LA CHILENITA                    </v>
          </cell>
          <cell r="G83">
            <v>0</v>
          </cell>
          <cell r="H83">
            <v>0</v>
          </cell>
          <cell r="I83" t="str">
            <v>Cliente perdió patente de alcoholes</v>
          </cell>
        </row>
        <row r="84">
          <cell r="A84">
            <v>2223701</v>
          </cell>
          <cell r="B84" t="str">
            <v>STGO/RANCAGUA</v>
          </cell>
          <cell r="C84" t="str">
            <v>VESPUCIO</v>
          </cell>
          <cell r="D84" t="str">
            <v>CAMILA VILLARROEL GONZALEZ</v>
          </cell>
          <cell r="E84" t="str">
            <v>RAUL GOMEZ URDANETA</v>
          </cell>
          <cell r="F84" t="str">
            <v xml:space="preserve">2223701 - RESTAURANT CLUB ZERO JORGE ZAPATA            </v>
          </cell>
          <cell r="G84">
            <v>1</v>
          </cell>
          <cell r="H84">
            <v>4</v>
          </cell>
          <cell r="I84" t="str">
            <v>Otro (Especificar Columna J)</v>
          </cell>
          <cell r="J84" t="str">
            <v>CLIENTE MANTIENE MISMAS SALIDAS SOLO LE PUSIMOS 1 MAQUINA PARA HACER EFICIENTE EL ESPACIO</v>
          </cell>
        </row>
        <row r="85">
          <cell r="A85">
            <v>923888</v>
          </cell>
          <cell r="B85" t="str">
            <v>SUR</v>
          </cell>
          <cell r="C85" t="str">
            <v>OSOR/PTO MONTT/CASTR/COYH</v>
          </cell>
          <cell r="D85" t="str">
            <v>CRISTOBAL SOTOMAYOR</v>
          </cell>
          <cell r="E85" t="str">
            <v>CLAUDIO RUIZ EMILQUEO</v>
          </cell>
          <cell r="F85" t="str">
            <v xml:space="preserve">923888 - MYRTHA LOPEZ MARTINEZ                        </v>
          </cell>
          <cell r="G85">
            <v>0</v>
          </cell>
          <cell r="H85">
            <v>0</v>
          </cell>
          <cell r="I85" t="str">
            <v>Cliente con término de giro, se retiró 100% de activos</v>
          </cell>
        </row>
        <row r="86">
          <cell r="A86">
            <v>2132349</v>
          </cell>
          <cell r="B86" t="str">
            <v>SUR</v>
          </cell>
          <cell r="C86" t="str">
            <v>OSOR/PTO MONTT/CASTR/COYH</v>
          </cell>
          <cell r="D86" t="str">
            <v>MARCELO BUSTOS CISTERNA</v>
          </cell>
          <cell r="E86" t="str">
            <v>ALBERTO UTRERAS</v>
          </cell>
          <cell r="F86" t="str">
            <v xml:space="preserve">2132349 - OSAKA GASTRONOMICA SPA                       </v>
          </cell>
          <cell r="G86">
            <v>0</v>
          </cell>
          <cell r="H86">
            <v>0</v>
          </cell>
          <cell r="I86" t="str">
            <v>Cliente instaló maquina propia y/o de la competencia y solicitó retiro de las nuestras</v>
          </cell>
        </row>
        <row r="87">
          <cell r="A87">
            <v>2257811</v>
          </cell>
          <cell r="B87" t="str">
            <v>SUR</v>
          </cell>
          <cell r="C87" t="str">
            <v>OSOR/PTO MONTT/CASTR/COYH</v>
          </cell>
          <cell r="D87" t="str">
            <v>MARCELO BUSTOS CISTERNA</v>
          </cell>
          <cell r="E87" t="str">
            <v>FELIPE OJEDA</v>
          </cell>
          <cell r="F87" t="str">
            <v xml:space="preserve">2257811 - KARIN RODRIGUEZ BARRIENTOS                   </v>
          </cell>
          <cell r="G87">
            <v>0</v>
          </cell>
          <cell r="H87">
            <v>0</v>
          </cell>
          <cell r="I87" t="str">
            <v>Cliente Fugado</v>
          </cell>
        </row>
        <row r="88">
          <cell r="A88">
            <v>686448</v>
          </cell>
          <cell r="B88" t="str">
            <v>SUR</v>
          </cell>
          <cell r="C88" t="str">
            <v>OSOR/PTO MONTT/CASTR/COYH</v>
          </cell>
          <cell r="D88" t="str">
            <v>ROBINSON GONZALEZ</v>
          </cell>
          <cell r="E88" t="str">
            <v>JOSE LEONEL MALDONADO ARGEL</v>
          </cell>
          <cell r="F88" t="str">
            <v xml:space="preserve">686448 - PATRICIO CARDENAS HIDALGO                    </v>
          </cell>
          <cell r="G88">
            <v>0</v>
          </cell>
          <cell r="H88">
            <v>0</v>
          </cell>
          <cell r="I88" t="str">
            <v>Cambio de razón Social</v>
          </cell>
        </row>
        <row r="89">
          <cell r="A89">
            <v>1919652</v>
          </cell>
          <cell r="B89" t="str">
            <v>SUR</v>
          </cell>
          <cell r="C89" t="str">
            <v>TEMUCO/VALDIVIA</v>
          </cell>
          <cell r="D89" t="str">
            <v>NELSON MORENO CONTRERAS</v>
          </cell>
          <cell r="E89" t="str">
            <v>DARYL ACUNA MAITRE</v>
          </cell>
          <cell r="F89" t="str">
            <v xml:space="preserve">1919652 - FASC LIMITADA                                </v>
          </cell>
          <cell r="G89">
            <v>0</v>
          </cell>
          <cell r="H89">
            <v>0</v>
          </cell>
          <cell r="I89" t="str">
            <v>Cambio de razón Social</v>
          </cell>
        </row>
        <row r="90">
          <cell r="A90">
            <v>2377040</v>
          </cell>
          <cell r="B90" t="str">
            <v>SUR</v>
          </cell>
          <cell r="C90" t="str">
            <v>TEMUCO/VALDIVIA</v>
          </cell>
          <cell r="D90" t="str">
            <v>NELSON MORENO CONTRERAS</v>
          </cell>
          <cell r="E90" t="str">
            <v>DARYL ACUNA MAITRE</v>
          </cell>
          <cell r="F90" t="str">
            <v xml:space="preserve">2377040 - SOCIEDAD GASTRONOMICA SANTO REMEDIO SPA      </v>
          </cell>
          <cell r="G90">
            <v>0</v>
          </cell>
          <cell r="H90">
            <v>0</v>
          </cell>
          <cell r="I90" t="str">
            <v>Cliente con término de giro, se retiró 100% de activos</v>
          </cell>
        </row>
        <row r="91">
          <cell r="A91">
            <v>2214482</v>
          </cell>
          <cell r="B91" t="str">
            <v>SUR</v>
          </cell>
          <cell r="C91" t="str">
            <v>TEMUCO/VALDIVIA</v>
          </cell>
          <cell r="D91" t="str">
            <v>NELSON MORENO CONTRERAS</v>
          </cell>
          <cell r="E91" t="str">
            <v>DARYL ACUNA MAITRE</v>
          </cell>
          <cell r="F91" t="str">
            <v xml:space="preserve">2214482 - D&amp;M LIMITADA                                 </v>
          </cell>
          <cell r="G91">
            <v>0</v>
          </cell>
          <cell r="H91">
            <v>0</v>
          </cell>
          <cell r="I91" t="str">
            <v>Cambio de razón Social</v>
          </cell>
        </row>
        <row r="92">
          <cell r="A92">
            <v>2286578</v>
          </cell>
          <cell r="B92" t="str">
            <v>SUR</v>
          </cell>
          <cell r="C92" t="str">
            <v>TEMUCO/VALDIVIA</v>
          </cell>
          <cell r="D92" t="str">
            <v>NELSON MORENO CONTRERAS</v>
          </cell>
          <cell r="E92" t="str">
            <v>DARYL ACUNA MAITRE</v>
          </cell>
          <cell r="F92" t="str">
            <v xml:space="preserve">2286578 - REST. EL 77 SPA                              </v>
          </cell>
          <cell r="G92">
            <v>0</v>
          </cell>
          <cell r="H92">
            <v>0</v>
          </cell>
          <cell r="I92" t="str">
            <v>Cliente Fugado</v>
          </cell>
        </row>
        <row r="93">
          <cell r="A93">
            <v>2243936</v>
          </cell>
          <cell r="B93" t="str">
            <v>SUR</v>
          </cell>
          <cell r="C93" t="str">
            <v>TEMUCO/VALDIVIA</v>
          </cell>
          <cell r="D93" t="str">
            <v>SERGIO ACUNA</v>
          </cell>
          <cell r="E93" t="str">
            <v>MIGUEL RODRIGO QUIAN QUIAN</v>
          </cell>
          <cell r="F93" t="str">
            <v xml:space="preserve">2243936 - GAST. Y TURISMO PATAGONIA SPA                </v>
          </cell>
          <cell r="G93">
            <v>0</v>
          </cell>
          <cell r="H93">
            <v>0</v>
          </cell>
          <cell r="I93" t="str">
            <v>Cambio de razón Social</v>
          </cell>
        </row>
        <row r="94">
          <cell r="A94">
            <v>1571478</v>
          </cell>
          <cell r="B94" t="str">
            <v>SUR</v>
          </cell>
          <cell r="C94" t="str">
            <v>TEMUCO/VALDIVIA</v>
          </cell>
          <cell r="D94" t="str">
            <v>SERGIO ACUNA</v>
          </cell>
          <cell r="E94" t="str">
            <v>MIGUEL RODRIGO QUIAN QUIAN</v>
          </cell>
          <cell r="F94" t="str">
            <v xml:space="preserve">1571478 - ALEJANDRO EMILIO FAURE FERNANDEZ             </v>
          </cell>
          <cell r="G94">
            <v>0</v>
          </cell>
          <cell r="H94">
            <v>0</v>
          </cell>
          <cell r="I94" t="str">
            <v>Cambio de razón Social</v>
          </cell>
        </row>
        <row r="95">
          <cell r="A95">
            <v>1654522</v>
          </cell>
          <cell r="B95" t="str">
            <v>SUR</v>
          </cell>
          <cell r="C95" t="str">
            <v>TEMUCO/VALDIVIA</v>
          </cell>
          <cell r="D95" t="str">
            <v>SERGIO ACUNA</v>
          </cell>
          <cell r="E95" t="str">
            <v>SEBASTIAN TORRES BRUMMER</v>
          </cell>
          <cell r="F95" t="str">
            <v xml:space="preserve">1654522 - SOC.GASTRONOMICA MASAGO S.P.A.               </v>
          </cell>
          <cell r="G95">
            <v>1</v>
          </cell>
          <cell r="H95">
            <v>2</v>
          </cell>
          <cell r="I95" t="str">
            <v>Cambio de razón Social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CB37-AD18-4AE5-9AAC-72E03A38E6A1}">
  <dimension ref="A1:I48"/>
  <sheetViews>
    <sheetView topLeftCell="C1" workbookViewId="0">
      <selection activeCell="C6" sqref="C6"/>
    </sheetView>
  </sheetViews>
  <sheetFormatPr baseColWidth="10" defaultRowHeight="15" x14ac:dyDescent="0.2"/>
  <cols>
    <col min="2" max="2" width="9.33203125" bestFit="1" customWidth="1"/>
    <col min="3" max="3" width="48.33203125" customWidth="1"/>
    <col min="4" max="4" width="24.5" customWidth="1"/>
    <col min="5" max="5" width="38.5" customWidth="1"/>
    <col min="6" max="7" width="24.5" customWidth="1"/>
    <col min="8" max="8" width="12.1640625" bestFit="1" customWidth="1"/>
    <col min="9" max="9" width="73.6640625" bestFit="1" customWidth="1"/>
  </cols>
  <sheetData>
    <row r="1" spans="1:9" ht="16" thickBot="1" x14ac:dyDescent="0.25">
      <c r="A1" s="1" t="s">
        <v>0</v>
      </c>
      <c r="B1" s="1" t="s">
        <v>1</v>
      </c>
      <c r="C1" s="1" t="s">
        <v>2</v>
      </c>
      <c r="D1" s="2" t="s">
        <v>25</v>
      </c>
      <c r="E1" s="2" t="s">
        <v>26</v>
      </c>
      <c r="F1" s="2" t="s">
        <v>27</v>
      </c>
      <c r="G1" s="2" t="s">
        <v>28</v>
      </c>
      <c r="H1" s="1" t="s">
        <v>3</v>
      </c>
      <c r="I1" s="1" t="s">
        <v>4</v>
      </c>
    </row>
    <row r="2" spans="1:9" x14ac:dyDescent="0.2">
      <c r="A2" t="s">
        <v>561</v>
      </c>
      <c r="B2">
        <v>2367696</v>
      </c>
      <c r="C2" t="s">
        <v>609</v>
      </c>
      <c r="D2" t="s">
        <v>754</v>
      </c>
      <c r="E2" t="s">
        <v>657</v>
      </c>
      <c r="F2" t="s">
        <v>56</v>
      </c>
      <c r="G2" t="s">
        <v>82</v>
      </c>
      <c r="H2" t="s">
        <v>560</v>
      </c>
      <c r="I2" t="s">
        <v>19</v>
      </c>
    </row>
    <row r="3" spans="1:9" x14ac:dyDescent="0.2">
      <c r="A3" t="s">
        <v>562</v>
      </c>
      <c r="B3">
        <v>836575</v>
      </c>
      <c r="C3" t="s">
        <v>610</v>
      </c>
      <c r="D3" t="s">
        <v>754</v>
      </c>
      <c r="E3" t="s">
        <v>658</v>
      </c>
      <c r="F3" t="s">
        <v>39</v>
      </c>
      <c r="G3" t="s">
        <v>82</v>
      </c>
      <c r="H3" t="s">
        <v>559</v>
      </c>
      <c r="I3" t="s">
        <v>22</v>
      </c>
    </row>
    <row r="4" spans="1:9" x14ac:dyDescent="0.2">
      <c r="A4" t="s">
        <v>563</v>
      </c>
      <c r="B4">
        <v>740276</v>
      </c>
      <c r="C4" t="s">
        <v>611</v>
      </c>
      <c r="D4" t="s">
        <v>803</v>
      </c>
      <c r="E4" t="s">
        <v>659</v>
      </c>
      <c r="F4" t="s">
        <v>56</v>
      </c>
      <c r="G4" t="s">
        <v>82</v>
      </c>
      <c r="H4" t="s">
        <v>559</v>
      </c>
      <c r="I4" t="s">
        <v>23</v>
      </c>
    </row>
    <row r="5" spans="1:9" x14ac:dyDescent="0.2">
      <c r="A5" t="s">
        <v>565</v>
      </c>
      <c r="B5">
        <v>504836</v>
      </c>
      <c r="C5" t="s">
        <v>613</v>
      </c>
      <c r="D5" t="s">
        <v>754</v>
      </c>
      <c r="E5" t="s">
        <v>661</v>
      </c>
      <c r="F5" t="s">
        <v>718</v>
      </c>
      <c r="G5" t="s">
        <v>751</v>
      </c>
      <c r="H5" t="s">
        <v>559</v>
      </c>
      <c r="I5" t="s">
        <v>21</v>
      </c>
    </row>
    <row r="6" spans="1:9" x14ac:dyDescent="0.2">
      <c r="A6" t="s">
        <v>566</v>
      </c>
      <c r="B6">
        <v>2320949</v>
      </c>
      <c r="C6" t="s">
        <v>614</v>
      </c>
      <c r="D6" t="s">
        <v>754</v>
      </c>
      <c r="E6" t="s">
        <v>662</v>
      </c>
      <c r="F6" t="s">
        <v>719</v>
      </c>
      <c r="G6" t="s">
        <v>81</v>
      </c>
      <c r="H6" t="s">
        <v>559</v>
      </c>
      <c r="I6" t="s">
        <v>23</v>
      </c>
    </row>
    <row r="7" spans="1:9" x14ac:dyDescent="0.2">
      <c r="A7" t="s">
        <v>567</v>
      </c>
      <c r="B7">
        <v>1418636</v>
      </c>
      <c r="C7" t="s">
        <v>615</v>
      </c>
      <c r="D7" t="s">
        <v>804</v>
      </c>
      <c r="E7" t="s">
        <v>663</v>
      </c>
      <c r="F7" t="s">
        <v>52</v>
      </c>
      <c r="G7" t="s">
        <v>81</v>
      </c>
      <c r="H7" t="s">
        <v>558</v>
      </c>
      <c r="I7" t="s">
        <v>709</v>
      </c>
    </row>
    <row r="8" spans="1:9" x14ac:dyDescent="0.2">
      <c r="A8" t="s">
        <v>568</v>
      </c>
      <c r="B8">
        <v>676638</v>
      </c>
      <c r="C8" t="s">
        <v>616</v>
      </c>
      <c r="D8" t="s">
        <v>805</v>
      </c>
      <c r="E8" t="s">
        <v>664</v>
      </c>
      <c r="F8" t="s">
        <v>52</v>
      </c>
      <c r="G8" t="s">
        <v>81</v>
      </c>
      <c r="H8" t="s">
        <v>559</v>
      </c>
      <c r="I8" t="s">
        <v>23</v>
      </c>
    </row>
    <row r="9" spans="1:9" x14ac:dyDescent="0.2">
      <c r="A9" t="s">
        <v>569</v>
      </c>
      <c r="B9">
        <v>2120084</v>
      </c>
      <c r="C9" t="s">
        <v>617</v>
      </c>
      <c r="D9" t="s">
        <v>806</v>
      </c>
      <c r="E9" t="s">
        <v>665</v>
      </c>
      <c r="F9" t="s">
        <v>35</v>
      </c>
      <c r="G9" t="s">
        <v>81</v>
      </c>
      <c r="H9" t="s">
        <v>560</v>
      </c>
      <c r="I9" t="s">
        <v>23</v>
      </c>
    </row>
    <row r="10" spans="1:9" x14ac:dyDescent="0.2">
      <c r="A10" t="s">
        <v>570</v>
      </c>
      <c r="B10">
        <v>680033</v>
      </c>
      <c r="C10" t="s">
        <v>618</v>
      </c>
      <c r="D10" t="s">
        <v>807</v>
      </c>
      <c r="E10" t="s">
        <v>666</v>
      </c>
      <c r="F10" t="s">
        <v>79</v>
      </c>
      <c r="G10" t="s">
        <v>81</v>
      </c>
      <c r="H10" t="s">
        <v>559</v>
      </c>
      <c r="I10" t="s">
        <v>707</v>
      </c>
    </row>
    <row r="11" spans="1:9" x14ac:dyDescent="0.2">
      <c r="A11" t="s">
        <v>571</v>
      </c>
      <c r="B11">
        <v>679513</v>
      </c>
      <c r="C11" t="s">
        <v>619</v>
      </c>
      <c r="D11" t="s">
        <v>754</v>
      </c>
      <c r="E11" t="s">
        <v>667</v>
      </c>
      <c r="F11" t="s">
        <v>720</v>
      </c>
      <c r="G11" t="s">
        <v>81</v>
      </c>
      <c r="H11" t="s">
        <v>558</v>
      </c>
      <c r="I11" t="s">
        <v>23</v>
      </c>
    </row>
    <row r="12" spans="1:9" x14ac:dyDescent="0.2">
      <c r="A12" t="s">
        <v>572</v>
      </c>
      <c r="B12">
        <v>990342</v>
      </c>
      <c r="C12" t="s">
        <v>620</v>
      </c>
      <c r="D12" t="s">
        <v>808</v>
      </c>
      <c r="E12" t="s">
        <v>668</v>
      </c>
      <c r="F12" t="s">
        <v>34</v>
      </c>
      <c r="G12" t="s">
        <v>81</v>
      </c>
      <c r="H12" t="s">
        <v>559</v>
      </c>
      <c r="I12" t="s">
        <v>22</v>
      </c>
    </row>
    <row r="13" spans="1:9" x14ac:dyDescent="0.2">
      <c r="A13" t="s">
        <v>573</v>
      </c>
      <c r="B13">
        <v>2283217</v>
      </c>
      <c r="C13" t="s">
        <v>621</v>
      </c>
      <c r="D13" t="s">
        <v>754</v>
      </c>
      <c r="E13" t="s">
        <v>669</v>
      </c>
      <c r="F13" t="s">
        <v>52</v>
      </c>
      <c r="G13" t="s">
        <v>81</v>
      </c>
      <c r="H13" t="s">
        <v>559</v>
      </c>
      <c r="I13" t="s">
        <v>21</v>
      </c>
    </row>
    <row r="14" spans="1:9" x14ac:dyDescent="0.2">
      <c r="A14" t="s">
        <v>574</v>
      </c>
      <c r="B14">
        <v>810456</v>
      </c>
      <c r="C14" t="s">
        <v>622</v>
      </c>
      <c r="D14" t="s">
        <v>809</v>
      </c>
      <c r="E14" t="s">
        <v>670</v>
      </c>
      <c r="F14" t="s">
        <v>35</v>
      </c>
      <c r="G14" t="s">
        <v>81</v>
      </c>
      <c r="H14" t="s">
        <v>558</v>
      </c>
      <c r="I14" t="s">
        <v>21</v>
      </c>
    </row>
    <row r="15" spans="1:9" x14ac:dyDescent="0.2">
      <c r="A15" t="s">
        <v>575</v>
      </c>
      <c r="B15">
        <v>2273723</v>
      </c>
      <c r="C15" t="s">
        <v>623</v>
      </c>
      <c r="D15" t="s">
        <v>810</v>
      </c>
      <c r="E15" t="s">
        <v>671</v>
      </c>
      <c r="F15" t="s">
        <v>34</v>
      </c>
      <c r="G15" t="s">
        <v>81</v>
      </c>
      <c r="H15" t="s">
        <v>559</v>
      </c>
      <c r="I15" t="s">
        <v>710</v>
      </c>
    </row>
    <row r="16" spans="1:9" x14ac:dyDescent="0.2">
      <c r="A16" t="s">
        <v>576</v>
      </c>
      <c r="B16">
        <v>2340856</v>
      </c>
      <c r="C16" t="s">
        <v>624</v>
      </c>
      <c r="D16" t="s">
        <v>754</v>
      </c>
      <c r="E16" t="s">
        <v>672</v>
      </c>
      <c r="F16" t="s">
        <v>34</v>
      </c>
      <c r="G16" t="s">
        <v>81</v>
      </c>
      <c r="H16" t="s">
        <v>558</v>
      </c>
      <c r="I16" t="s">
        <v>21</v>
      </c>
    </row>
    <row r="17" spans="1:9" x14ac:dyDescent="0.2">
      <c r="A17" t="s">
        <v>577</v>
      </c>
      <c r="B17">
        <v>2240091</v>
      </c>
      <c r="C17" t="s">
        <v>625</v>
      </c>
      <c r="D17" t="s">
        <v>811</v>
      </c>
      <c r="E17" t="s">
        <v>673</v>
      </c>
      <c r="F17" t="s">
        <v>77</v>
      </c>
      <c r="G17" t="s">
        <v>81</v>
      </c>
      <c r="H17" t="s">
        <v>558</v>
      </c>
      <c r="I17" t="s">
        <v>711</v>
      </c>
    </row>
    <row r="18" spans="1:9" x14ac:dyDescent="0.2">
      <c r="A18" t="s">
        <v>11</v>
      </c>
      <c r="B18">
        <v>2425128</v>
      </c>
      <c r="C18" t="s">
        <v>6</v>
      </c>
      <c r="D18" t="s">
        <v>754</v>
      </c>
      <c r="E18" t="s">
        <v>674</v>
      </c>
      <c r="F18" t="s">
        <v>55</v>
      </c>
      <c r="G18" t="s">
        <v>81</v>
      </c>
      <c r="H18" t="s">
        <v>558</v>
      </c>
      <c r="I18" t="s">
        <v>23</v>
      </c>
    </row>
    <row r="19" spans="1:9" x14ac:dyDescent="0.2">
      <c r="A19" t="s">
        <v>578</v>
      </c>
      <c r="B19">
        <v>1650018</v>
      </c>
      <c r="C19" t="s">
        <v>626</v>
      </c>
      <c r="D19" t="s">
        <v>812</v>
      </c>
      <c r="E19" t="s">
        <v>675</v>
      </c>
      <c r="F19" t="s">
        <v>51</v>
      </c>
      <c r="G19" t="s">
        <v>81</v>
      </c>
      <c r="H19" t="s">
        <v>560</v>
      </c>
      <c r="I19" t="s">
        <v>708</v>
      </c>
    </row>
    <row r="20" spans="1:9" x14ac:dyDescent="0.2">
      <c r="A20" t="s">
        <v>579</v>
      </c>
      <c r="B20">
        <v>2313408</v>
      </c>
      <c r="C20" t="s">
        <v>627</v>
      </c>
      <c r="D20" t="s">
        <v>754</v>
      </c>
      <c r="E20" t="s">
        <v>676</v>
      </c>
      <c r="F20" t="s">
        <v>721</v>
      </c>
      <c r="G20" t="s">
        <v>85</v>
      </c>
      <c r="H20" t="s">
        <v>560</v>
      </c>
      <c r="I20" t="s">
        <v>21</v>
      </c>
    </row>
    <row r="21" spans="1:9" x14ac:dyDescent="0.2">
      <c r="A21" t="s">
        <v>580</v>
      </c>
      <c r="B21">
        <v>1643885</v>
      </c>
      <c r="C21" t="s">
        <v>628</v>
      </c>
      <c r="D21" t="s">
        <v>813</v>
      </c>
      <c r="E21" t="s">
        <v>677</v>
      </c>
      <c r="F21" t="s">
        <v>61</v>
      </c>
      <c r="G21" t="s">
        <v>85</v>
      </c>
      <c r="H21" t="s">
        <v>559</v>
      </c>
      <c r="I21" t="s">
        <v>22</v>
      </c>
    </row>
    <row r="22" spans="1:9" x14ac:dyDescent="0.2">
      <c r="A22" t="s">
        <v>581</v>
      </c>
      <c r="B22">
        <v>1425885</v>
      </c>
      <c r="C22" t="s">
        <v>629</v>
      </c>
      <c r="D22" t="s">
        <v>814</v>
      </c>
      <c r="E22" t="s">
        <v>678</v>
      </c>
      <c r="F22" t="s">
        <v>62</v>
      </c>
      <c r="G22" t="s">
        <v>86</v>
      </c>
      <c r="H22" t="s">
        <v>558</v>
      </c>
      <c r="I22" t="s">
        <v>23</v>
      </c>
    </row>
    <row r="23" spans="1:9" x14ac:dyDescent="0.2">
      <c r="A23" t="s">
        <v>582</v>
      </c>
      <c r="B23">
        <v>812495</v>
      </c>
      <c r="C23" t="s">
        <v>630</v>
      </c>
      <c r="D23" t="s">
        <v>754</v>
      </c>
      <c r="E23" t="s">
        <v>679</v>
      </c>
      <c r="F23" t="s">
        <v>722</v>
      </c>
      <c r="G23" t="s">
        <v>88</v>
      </c>
      <c r="H23" t="s">
        <v>559</v>
      </c>
      <c r="I23" t="s">
        <v>23</v>
      </c>
    </row>
    <row r="24" spans="1:9" x14ac:dyDescent="0.2">
      <c r="A24" t="s">
        <v>583</v>
      </c>
      <c r="B24">
        <v>2157202</v>
      </c>
      <c r="C24" t="s">
        <v>631</v>
      </c>
      <c r="D24" t="s">
        <v>754</v>
      </c>
      <c r="E24" t="s">
        <v>680</v>
      </c>
      <c r="F24" t="s">
        <v>64</v>
      </c>
      <c r="G24" t="s">
        <v>88</v>
      </c>
      <c r="H24" t="s">
        <v>559</v>
      </c>
      <c r="I24" t="s">
        <v>22</v>
      </c>
    </row>
    <row r="25" spans="1:9" x14ac:dyDescent="0.2">
      <c r="A25" t="s">
        <v>584</v>
      </c>
      <c r="B25">
        <v>1307380</v>
      </c>
      <c r="C25" t="s">
        <v>632</v>
      </c>
      <c r="D25" t="s">
        <v>754</v>
      </c>
      <c r="E25" t="s">
        <v>681</v>
      </c>
      <c r="F25" t="s">
        <v>43</v>
      </c>
      <c r="G25" t="s">
        <v>88</v>
      </c>
      <c r="H25" t="s">
        <v>559</v>
      </c>
      <c r="I25" t="s">
        <v>23</v>
      </c>
    </row>
    <row r="26" spans="1:9" x14ac:dyDescent="0.2">
      <c r="A26" t="s">
        <v>585</v>
      </c>
      <c r="B26">
        <v>2187791</v>
      </c>
      <c r="C26" t="s">
        <v>633</v>
      </c>
      <c r="D26" t="s">
        <v>754</v>
      </c>
      <c r="E26" t="s">
        <v>682</v>
      </c>
      <c r="F26" t="s">
        <v>44</v>
      </c>
      <c r="G26" t="s">
        <v>90</v>
      </c>
      <c r="H26" t="s">
        <v>560</v>
      </c>
      <c r="I26" t="s">
        <v>21</v>
      </c>
    </row>
    <row r="27" spans="1:9" x14ac:dyDescent="0.2">
      <c r="A27" t="s">
        <v>586</v>
      </c>
      <c r="B27">
        <v>2422019</v>
      </c>
      <c r="C27" t="s">
        <v>634</v>
      </c>
      <c r="D27" t="s">
        <v>754</v>
      </c>
      <c r="E27" t="s">
        <v>683</v>
      </c>
      <c r="F27" t="s">
        <v>65</v>
      </c>
      <c r="G27" t="s">
        <v>88</v>
      </c>
      <c r="H27" t="s">
        <v>558</v>
      </c>
      <c r="I27" t="s">
        <v>23</v>
      </c>
    </row>
    <row r="28" spans="1:9" x14ac:dyDescent="0.2">
      <c r="A28" t="s">
        <v>588</v>
      </c>
      <c r="B28">
        <v>785321</v>
      </c>
      <c r="C28" t="s">
        <v>636</v>
      </c>
      <c r="D28" t="s">
        <v>754</v>
      </c>
      <c r="E28" t="s">
        <v>685</v>
      </c>
      <c r="F28" t="s">
        <v>723</v>
      </c>
      <c r="G28" t="s">
        <v>750</v>
      </c>
      <c r="H28" t="s">
        <v>560</v>
      </c>
      <c r="I28" t="s">
        <v>22</v>
      </c>
    </row>
    <row r="29" spans="1:9" x14ac:dyDescent="0.2">
      <c r="A29" t="s">
        <v>589</v>
      </c>
      <c r="B29">
        <v>1674772</v>
      </c>
      <c r="C29" t="s">
        <v>637</v>
      </c>
      <c r="D29" t="s">
        <v>754</v>
      </c>
      <c r="E29" t="s">
        <v>686</v>
      </c>
      <c r="F29" t="s">
        <v>724</v>
      </c>
      <c r="G29" t="s">
        <v>89</v>
      </c>
      <c r="H29" t="s">
        <v>559</v>
      </c>
      <c r="I29" t="s">
        <v>22</v>
      </c>
    </row>
    <row r="30" spans="1:9" x14ac:dyDescent="0.2">
      <c r="A30" t="s">
        <v>590</v>
      </c>
      <c r="B30">
        <v>550900</v>
      </c>
      <c r="C30" t="s">
        <v>638</v>
      </c>
      <c r="D30" t="s">
        <v>754</v>
      </c>
      <c r="E30" t="s">
        <v>687</v>
      </c>
      <c r="F30" t="s">
        <v>69</v>
      </c>
      <c r="G30" t="s">
        <v>89</v>
      </c>
      <c r="H30" t="s">
        <v>560</v>
      </c>
      <c r="I30" t="s">
        <v>22</v>
      </c>
    </row>
    <row r="31" spans="1:9" x14ac:dyDescent="0.2">
      <c r="A31" t="s">
        <v>591</v>
      </c>
      <c r="B31">
        <v>550073</v>
      </c>
      <c r="C31" t="s">
        <v>639</v>
      </c>
      <c r="D31" t="s">
        <v>754</v>
      </c>
      <c r="E31" t="s">
        <v>688</v>
      </c>
      <c r="F31" t="s">
        <v>67</v>
      </c>
      <c r="G31" t="s">
        <v>89</v>
      </c>
      <c r="H31" t="s">
        <v>560</v>
      </c>
      <c r="I31" t="s">
        <v>22</v>
      </c>
    </row>
    <row r="32" spans="1:9" x14ac:dyDescent="0.2">
      <c r="A32" t="s">
        <v>592</v>
      </c>
      <c r="B32">
        <v>614029</v>
      </c>
      <c r="C32" t="s">
        <v>640</v>
      </c>
      <c r="D32" t="s">
        <v>815</v>
      </c>
      <c r="E32" t="s">
        <v>689</v>
      </c>
      <c r="F32" t="s">
        <v>72</v>
      </c>
      <c r="G32" t="s">
        <v>91</v>
      </c>
      <c r="H32" t="s">
        <v>559</v>
      </c>
      <c r="I32" t="s">
        <v>23</v>
      </c>
    </row>
    <row r="33" spans="1:9" x14ac:dyDescent="0.2">
      <c r="A33" t="s">
        <v>593</v>
      </c>
      <c r="B33">
        <v>1307516</v>
      </c>
      <c r="C33" t="s">
        <v>641</v>
      </c>
      <c r="D33" t="s">
        <v>816</v>
      </c>
      <c r="E33" t="s">
        <v>690</v>
      </c>
      <c r="F33" t="s">
        <v>45</v>
      </c>
      <c r="G33" t="s">
        <v>91</v>
      </c>
      <c r="H33" t="s">
        <v>560</v>
      </c>
      <c r="I33" t="s">
        <v>21</v>
      </c>
    </row>
    <row r="34" spans="1:9" x14ac:dyDescent="0.2">
      <c r="A34" t="s">
        <v>594</v>
      </c>
      <c r="B34">
        <v>996383</v>
      </c>
      <c r="C34" t="s">
        <v>642</v>
      </c>
      <c r="D34" t="s">
        <v>817</v>
      </c>
      <c r="E34" t="s">
        <v>691</v>
      </c>
      <c r="F34" t="s">
        <v>725</v>
      </c>
      <c r="G34" t="s">
        <v>91</v>
      </c>
      <c r="H34" t="s">
        <v>560</v>
      </c>
      <c r="I34" t="s">
        <v>23</v>
      </c>
    </row>
    <row r="35" spans="1:9" x14ac:dyDescent="0.2">
      <c r="A35" t="s">
        <v>595</v>
      </c>
      <c r="B35">
        <v>882118</v>
      </c>
      <c r="C35" t="s">
        <v>643</v>
      </c>
      <c r="D35" t="s">
        <v>818</v>
      </c>
      <c r="E35" t="s">
        <v>692</v>
      </c>
      <c r="F35" t="s">
        <v>72</v>
      </c>
      <c r="G35" t="s">
        <v>91</v>
      </c>
      <c r="H35" t="s">
        <v>559</v>
      </c>
      <c r="I35" t="s">
        <v>23</v>
      </c>
    </row>
    <row r="36" spans="1:9" x14ac:dyDescent="0.2">
      <c r="A36" t="s">
        <v>596</v>
      </c>
      <c r="B36">
        <v>1988357</v>
      </c>
      <c r="C36" t="s">
        <v>644</v>
      </c>
      <c r="D36" t="s">
        <v>819</v>
      </c>
      <c r="E36" t="s">
        <v>693</v>
      </c>
      <c r="F36" t="s">
        <v>29</v>
      </c>
      <c r="G36" t="s">
        <v>91</v>
      </c>
      <c r="H36" t="s">
        <v>559</v>
      </c>
      <c r="I36" t="s">
        <v>21</v>
      </c>
    </row>
    <row r="37" spans="1:9" x14ac:dyDescent="0.2">
      <c r="A37" t="s">
        <v>597</v>
      </c>
      <c r="B37">
        <v>759312</v>
      </c>
      <c r="C37" t="s">
        <v>645</v>
      </c>
      <c r="D37" t="s">
        <v>754</v>
      </c>
      <c r="E37" t="s">
        <v>694</v>
      </c>
      <c r="F37" t="s">
        <v>29</v>
      </c>
      <c r="G37" t="s">
        <v>91</v>
      </c>
      <c r="H37" t="s">
        <v>558</v>
      </c>
      <c r="I37" t="s">
        <v>19</v>
      </c>
    </row>
    <row r="38" spans="1:9" x14ac:dyDescent="0.2">
      <c r="A38" t="s">
        <v>598</v>
      </c>
      <c r="B38">
        <v>2302463</v>
      </c>
      <c r="C38" t="s">
        <v>646</v>
      </c>
      <c r="D38" t="s">
        <v>820</v>
      </c>
      <c r="E38" t="s">
        <v>695</v>
      </c>
      <c r="F38" t="s">
        <v>29</v>
      </c>
      <c r="G38" t="s">
        <v>91</v>
      </c>
      <c r="H38" t="s">
        <v>559</v>
      </c>
      <c r="I38" t="s">
        <v>22</v>
      </c>
    </row>
    <row r="39" spans="1:9" x14ac:dyDescent="0.2">
      <c r="A39" t="s">
        <v>599</v>
      </c>
      <c r="B39">
        <v>614047</v>
      </c>
      <c r="C39" t="s">
        <v>647</v>
      </c>
      <c r="D39" t="s">
        <v>821</v>
      </c>
      <c r="E39" t="s">
        <v>696</v>
      </c>
      <c r="F39" t="s">
        <v>72</v>
      </c>
      <c r="G39" t="s">
        <v>91</v>
      </c>
      <c r="H39" t="s">
        <v>559</v>
      </c>
      <c r="I39" t="s">
        <v>22</v>
      </c>
    </row>
    <row r="40" spans="1:9" x14ac:dyDescent="0.2">
      <c r="A40" t="s">
        <v>600</v>
      </c>
      <c r="B40">
        <v>1463812</v>
      </c>
      <c r="C40" t="s">
        <v>648</v>
      </c>
      <c r="D40" t="s">
        <v>754</v>
      </c>
      <c r="E40" t="s">
        <v>697</v>
      </c>
      <c r="F40" t="s">
        <v>73</v>
      </c>
      <c r="G40" t="s">
        <v>92</v>
      </c>
      <c r="H40" t="s">
        <v>560</v>
      </c>
      <c r="I40" t="s">
        <v>23</v>
      </c>
    </row>
    <row r="41" spans="1:9" x14ac:dyDescent="0.2">
      <c r="A41" t="s">
        <v>601</v>
      </c>
      <c r="B41">
        <v>598684</v>
      </c>
      <c r="C41" t="s">
        <v>649</v>
      </c>
      <c r="D41" t="s">
        <v>754</v>
      </c>
      <c r="E41" t="s">
        <v>698</v>
      </c>
      <c r="F41" t="s">
        <v>30</v>
      </c>
      <c r="G41" t="s">
        <v>93</v>
      </c>
      <c r="H41" t="s">
        <v>558</v>
      </c>
      <c r="I41" t="s">
        <v>22</v>
      </c>
    </row>
    <row r="42" spans="1:9" x14ac:dyDescent="0.2">
      <c r="A42" t="s">
        <v>602</v>
      </c>
      <c r="B42">
        <v>2346006</v>
      </c>
      <c r="C42" t="s">
        <v>650</v>
      </c>
      <c r="D42" t="s">
        <v>754</v>
      </c>
      <c r="E42" t="s">
        <v>699</v>
      </c>
      <c r="F42" t="s">
        <v>30</v>
      </c>
      <c r="G42" t="s">
        <v>93</v>
      </c>
      <c r="H42" t="s">
        <v>559</v>
      </c>
      <c r="I42" t="s">
        <v>22</v>
      </c>
    </row>
    <row r="43" spans="1:9" x14ac:dyDescent="0.2">
      <c r="A43" t="s">
        <v>603</v>
      </c>
      <c r="B43">
        <v>544376</v>
      </c>
      <c r="C43" t="s">
        <v>651</v>
      </c>
      <c r="D43" t="s">
        <v>754</v>
      </c>
      <c r="E43" t="s">
        <v>700</v>
      </c>
      <c r="F43" t="s">
        <v>31</v>
      </c>
      <c r="G43" t="s">
        <v>87</v>
      </c>
      <c r="H43" t="s">
        <v>559</v>
      </c>
      <c r="I43" t="s">
        <v>23</v>
      </c>
    </row>
    <row r="44" spans="1:9" x14ac:dyDescent="0.2">
      <c r="A44" t="s">
        <v>604</v>
      </c>
      <c r="B44">
        <v>543917</v>
      </c>
      <c r="C44" t="s">
        <v>652</v>
      </c>
      <c r="D44" t="s">
        <v>754</v>
      </c>
      <c r="E44" t="s">
        <v>701</v>
      </c>
      <c r="F44" t="s">
        <v>80</v>
      </c>
      <c r="G44" t="s">
        <v>87</v>
      </c>
      <c r="H44" t="s">
        <v>559</v>
      </c>
      <c r="I44" t="s">
        <v>706</v>
      </c>
    </row>
    <row r="45" spans="1:9" x14ac:dyDescent="0.2">
      <c r="A45" t="s">
        <v>605</v>
      </c>
      <c r="B45">
        <v>542565</v>
      </c>
      <c r="C45" t="s">
        <v>653</v>
      </c>
      <c r="D45" t="s">
        <v>822</v>
      </c>
      <c r="E45" t="s">
        <v>702</v>
      </c>
      <c r="F45" t="s">
        <v>31</v>
      </c>
      <c r="G45" t="s">
        <v>87</v>
      </c>
      <c r="H45" t="s">
        <v>559</v>
      </c>
      <c r="I45" t="s">
        <v>706</v>
      </c>
    </row>
    <row r="46" spans="1:9" x14ac:dyDescent="0.2">
      <c r="A46" t="s">
        <v>606</v>
      </c>
      <c r="B46">
        <v>2408267</v>
      </c>
      <c r="C46" t="s">
        <v>654</v>
      </c>
      <c r="D46" t="s">
        <v>754</v>
      </c>
      <c r="E46" t="s">
        <v>703</v>
      </c>
      <c r="F46" t="s">
        <v>726</v>
      </c>
      <c r="G46" t="s">
        <v>87</v>
      </c>
      <c r="H46" t="s">
        <v>558</v>
      </c>
      <c r="I46" t="s">
        <v>21</v>
      </c>
    </row>
    <row r="47" spans="1:9" x14ac:dyDescent="0.2">
      <c r="A47" t="s">
        <v>607</v>
      </c>
      <c r="B47">
        <v>544052</v>
      </c>
      <c r="C47" t="s">
        <v>655</v>
      </c>
      <c r="D47" t="s">
        <v>754</v>
      </c>
      <c r="E47" t="s">
        <v>704</v>
      </c>
      <c r="F47" t="s">
        <v>727</v>
      </c>
      <c r="G47" t="s">
        <v>88</v>
      </c>
      <c r="H47" t="s">
        <v>558</v>
      </c>
      <c r="I47" t="s">
        <v>23</v>
      </c>
    </row>
    <row r="48" spans="1:9" x14ac:dyDescent="0.2">
      <c r="A48" t="s">
        <v>608</v>
      </c>
      <c r="B48">
        <v>730425</v>
      </c>
      <c r="C48" t="s">
        <v>656</v>
      </c>
      <c r="D48" t="s">
        <v>754</v>
      </c>
      <c r="E48" t="s">
        <v>705</v>
      </c>
      <c r="F48" t="s">
        <v>728</v>
      </c>
      <c r="G48" t="s">
        <v>752</v>
      </c>
      <c r="H48" t="s">
        <v>560</v>
      </c>
      <c r="I4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6BC4-BBFE-46A9-8DF9-FD328D80A06A}">
  <dimension ref="A1:I159"/>
  <sheetViews>
    <sheetView tabSelected="1" zoomScale="91" workbookViewId="0">
      <selection activeCell="F18" sqref="F18"/>
    </sheetView>
  </sheetViews>
  <sheetFormatPr baseColWidth="10" defaultRowHeight="15" x14ac:dyDescent="0.2"/>
  <cols>
    <col min="2" max="2" width="9.33203125" bestFit="1" customWidth="1"/>
    <col min="3" max="3" width="47.33203125" bestFit="1" customWidth="1"/>
    <col min="4" max="4" width="34.1640625" bestFit="1" customWidth="1"/>
    <col min="5" max="5" width="47.5" bestFit="1" customWidth="1"/>
    <col min="6" max="7" width="24.33203125" customWidth="1"/>
    <col min="8" max="8" width="12.1640625" bestFit="1" customWidth="1"/>
    <col min="9" max="9" width="71.6640625" bestFit="1" customWidth="1"/>
  </cols>
  <sheetData>
    <row r="1" spans="1:9" ht="16" thickBot="1" x14ac:dyDescent="0.25">
      <c r="A1" s="1" t="s">
        <v>0</v>
      </c>
      <c r="B1" s="1" t="s">
        <v>1</v>
      </c>
      <c r="C1" s="1" t="s">
        <v>2</v>
      </c>
      <c r="D1" s="2" t="s">
        <v>25</v>
      </c>
      <c r="E1" s="2" t="s">
        <v>26</v>
      </c>
      <c r="F1" s="2" t="s">
        <v>27</v>
      </c>
      <c r="G1" s="2" t="s">
        <v>28</v>
      </c>
      <c r="H1" s="1" t="s">
        <v>3</v>
      </c>
      <c r="I1" s="1" t="s">
        <v>4</v>
      </c>
    </row>
    <row r="2" spans="1:9" x14ac:dyDescent="0.2">
      <c r="A2" t="s">
        <v>94</v>
      </c>
      <c r="B2">
        <v>1928685</v>
      </c>
      <c r="C2" t="s">
        <v>245</v>
      </c>
      <c r="D2" t="s">
        <v>755</v>
      </c>
      <c r="E2" t="s">
        <v>402</v>
      </c>
      <c r="F2" t="s">
        <v>54</v>
      </c>
      <c r="G2" t="s">
        <v>81</v>
      </c>
      <c r="H2" t="s">
        <v>558</v>
      </c>
      <c r="I2" t="s">
        <v>715</v>
      </c>
    </row>
    <row r="3" spans="1:9" x14ac:dyDescent="0.2">
      <c r="A3" t="s">
        <v>12</v>
      </c>
      <c r="B3">
        <v>2240338</v>
      </c>
      <c r="C3" t="s">
        <v>7</v>
      </c>
      <c r="D3" t="s">
        <v>756</v>
      </c>
      <c r="E3" t="s">
        <v>403</v>
      </c>
      <c r="F3" t="s">
        <v>60</v>
      </c>
      <c r="G3" t="s">
        <v>85</v>
      </c>
      <c r="H3" t="s">
        <v>558</v>
      </c>
      <c r="I3" t="s">
        <v>15</v>
      </c>
    </row>
    <row r="4" spans="1:9" x14ac:dyDescent="0.2">
      <c r="A4" t="s">
        <v>95</v>
      </c>
      <c r="B4">
        <v>1625117</v>
      </c>
      <c r="C4" t="s">
        <v>246</v>
      </c>
      <c r="D4" t="s">
        <v>756</v>
      </c>
      <c r="E4" t="s">
        <v>404</v>
      </c>
      <c r="F4" t="s">
        <v>61</v>
      </c>
      <c r="G4" t="s">
        <v>85</v>
      </c>
      <c r="H4" t="s">
        <v>558</v>
      </c>
      <c r="I4" t="s">
        <v>15</v>
      </c>
    </row>
    <row r="5" spans="1:9" x14ac:dyDescent="0.2">
      <c r="A5" t="s">
        <v>96</v>
      </c>
      <c r="B5">
        <v>934799</v>
      </c>
      <c r="C5" t="s">
        <v>247</v>
      </c>
      <c r="D5" t="s">
        <v>757</v>
      </c>
      <c r="E5" t="s">
        <v>405</v>
      </c>
      <c r="F5" t="s">
        <v>398</v>
      </c>
      <c r="G5" t="s">
        <v>83</v>
      </c>
      <c r="H5" t="s">
        <v>558</v>
      </c>
      <c r="I5" t="s">
        <v>715</v>
      </c>
    </row>
    <row r="6" spans="1:9" x14ac:dyDescent="0.2">
      <c r="A6" t="s">
        <v>97</v>
      </c>
      <c r="B6">
        <v>532389</v>
      </c>
      <c r="C6" t="s">
        <v>248</v>
      </c>
      <c r="D6" t="s">
        <v>758</v>
      </c>
      <c r="E6" t="s">
        <v>406</v>
      </c>
      <c r="F6" t="s">
        <v>40</v>
      </c>
      <c r="G6" t="s">
        <v>83</v>
      </c>
      <c r="H6" t="s">
        <v>558</v>
      </c>
      <c r="I6" t="s">
        <v>21</v>
      </c>
    </row>
    <row r="7" spans="1:9" x14ac:dyDescent="0.2">
      <c r="A7" t="s">
        <v>98</v>
      </c>
      <c r="B7">
        <v>1550190</v>
      </c>
      <c r="C7" t="s">
        <v>249</v>
      </c>
      <c r="D7" t="s">
        <v>754</v>
      </c>
      <c r="E7" t="s">
        <v>407</v>
      </c>
      <c r="F7" t="s">
        <v>41</v>
      </c>
      <c r="G7" t="s">
        <v>83</v>
      </c>
      <c r="H7" t="s">
        <v>558</v>
      </c>
      <c r="I7" t="s">
        <v>21</v>
      </c>
    </row>
    <row r="8" spans="1:9" x14ac:dyDescent="0.2">
      <c r="A8" t="s">
        <v>99</v>
      </c>
      <c r="B8">
        <v>2298142</v>
      </c>
      <c r="C8" t="s">
        <v>250</v>
      </c>
      <c r="D8" t="s">
        <v>754</v>
      </c>
      <c r="E8" t="s">
        <v>408</v>
      </c>
      <c r="F8" t="s">
        <v>41</v>
      </c>
      <c r="G8" t="s">
        <v>83</v>
      </c>
      <c r="H8" t="s">
        <v>558</v>
      </c>
      <c r="I8" t="s">
        <v>15</v>
      </c>
    </row>
    <row r="9" spans="1:9" x14ac:dyDescent="0.2">
      <c r="A9" t="s">
        <v>100</v>
      </c>
      <c r="B9">
        <v>2172426</v>
      </c>
      <c r="C9" t="s">
        <v>251</v>
      </c>
      <c r="D9" t="s">
        <v>754</v>
      </c>
      <c r="E9" t="s">
        <v>409</v>
      </c>
      <c r="F9" t="s">
        <v>41</v>
      </c>
      <c r="G9" t="s">
        <v>83</v>
      </c>
      <c r="H9" t="s">
        <v>558</v>
      </c>
      <c r="I9" t="s">
        <v>15</v>
      </c>
    </row>
    <row r="10" spans="1:9" x14ac:dyDescent="0.2">
      <c r="A10" t="s">
        <v>101</v>
      </c>
      <c r="B10">
        <v>1327163</v>
      </c>
      <c r="C10" t="s">
        <v>252</v>
      </c>
      <c r="D10" t="s">
        <v>754</v>
      </c>
      <c r="E10" t="s">
        <v>410</v>
      </c>
      <c r="F10" t="s">
        <v>41</v>
      </c>
      <c r="G10" t="s">
        <v>83</v>
      </c>
      <c r="H10" t="s">
        <v>558</v>
      </c>
      <c r="I10" t="s">
        <v>15</v>
      </c>
    </row>
    <row r="11" spans="1:9" x14ac:dyDescent="0.2">
      <c r="A11" t="s">
        <v>102</v>
      </c>
      <c r="B11">
        <v>1418027</v>
      </c>
      <c r="C11" t="s">
        <v>253</v>
      </c>
      <c r="D11" t="s">
        <v>754</v>
      </c>
      <c r="E11" t="s">
        <v>411</v>
      </c>
      <c r="F11" t="s">
        <v>41</v>
      </c>
      <c r="G11" t="s">
        <v>83</v>
      </c>
      <c r="H11" t="s">
        <v>558</v>
      </c>
      <c r="I11" t="s">
        <v>15</v>
      </c>
    </row>
    <row r="12" spans="1:9" x14ac:dyDescent="0.2">
      <c r="A12" t="s">
        <v>103</v>
      </c>
      <c r="B12">
        <v>1301908</v>
      </c>
      <c r="C12" t="s">
        <v>254</v>
      </c>
      <c r="D12" t="s">
        <v>754</v>
      </c>
      <c r="E12" t="s">
        <v>412</v>
      </c>
      <c r="F12" t="s">
        <v>729</v>
      </c>
      <c r="G12" t="s">
        <v>83</v>
      </c>
      <c r="H12" t="s">
        <v>558</v>
      </c>
      <c r="I12" t="s">
        <v>20</v>
      </c>
    </row>
    <row r="13" spans="1:9" x14ac:dyDescent="0.2">
      <c r="A13" t="s">
        <v>104</v>
      </c>
      <c r="B13">
        <v>705705</v>
      </c>
      <c r="C13" t="s">
        <v>255</v>
      </c>
      <c r="D13" t="s">
        <v>754</v>
      </c>
      <c r="E13" t="s">
        <v>413</v>
      </c>
      <c r="F13" t="s">
        <v>58</v>
      </c>
      <c r="G13" t="s">
        <v>84</v>
      </c>
      <c r="H13" t="s">
        <v>558</v>
      </c>
      <c r="I13" t="s">
        <v>16</v>
      </c>
    </row>
    <row r="14" spans="1:9" x14ac:dyDescent="0.2">
      <c r="A14" t="s">
        <v>105</v>
      </c>
      <c r="B14">
        <v>1576175</v>
      </c>
      <c r="C14" t="s">
        <v>256</v>
      </c>
      <c r="D14" t="s">
        <v>754</v>
      </c>
      <c r="E14" t="s">
        <v>414</v>
      </c>
      <c r="F14" t="s">
        <v>58</v>
      </c>
      <c r="G14" t="s">
        <v>84</v>
      </c>
      <c r="H14" t="s">
        <v>558</v>
      </c>
      <c r="I14" t="s">
        <v>712</v>
      </c>
    </row>
    <row r="15" spans="1:9" x14ac:dyDescent="0.2">
      <c r="A15" t="s">
        <v>106</v>
      </c>
      <c r="B15">
        <v>504752</v>
      </c>
      <c r="C15" t="s">
        <v>257</v>
      </c>
      <c r="D15" t="s">
        <v>754</v>
      </c>
      <c r="E15" t="s">
        <v>415</v>
      </c>
      <c r="F15" t="s">
        <v>730</v>
      </c>
      <c r="G15" t="s">
        <v>84</v>
      </c>
      <c r="H15" t="s">
        <v>558</v>
      </c>
      <c r="I15" t="s">
        <v>15</v>
      </c>
    </row>
    <row r="16" spans="1:9" x14ac:dyDescent="0.2">
      <c r="A16" t="s">
        <v>107</v>
      </c>
      <c r="B16">
        <v>2196905</v>
      </c>
      <c r="C16" t="s">
        <v>258</v>
      </c>
      <c r="D16" t="s">
        <v>759</v>
      </c>
      <c r="E16" t="s">
        <v>416</v>
      </c>
      <c r="F16" t="s">
        <v>34</v>
      </c>
      <c r="G16" t="s">
        <v>81</v>
      </c>
      <c r="H16" t="s">
        <v>558</v>
      </c>
      <c r="I16" t="s">
        <v>20</v>
      </c>
    </row>
    <row r="17" spans="1:9" x14ac:dyDescent="0.2">
      <c r="A17" t="s">
        <v>108</v>
      </c>
      <c r="B17">
        <v>2391888</v>
      </c>
      <c r="C17" t="s">
        <v>259</v>
      </c>
      <c r="D17" t="s">
        <v>754</v>
      </c>
      <c r="E17" t="s">
        <v>417</v>
      </c>
      <c r="F17" t="s">
        <v>34</v>
      </c>
      <c r="G17" t="s">
        <v>81</v>
      </c>
      <c r="H17" t="s">
        <v>558</v>
      </c>
      <c r="I17" t="s">
        <v>15</v>
      </c>
    </row>
    <row r="18" spans="1:9" x14ac:dyDescent="0.2">
      <c r="A18" t="s">
        <v>109</v>
      </c>
      <c r="B18">
        <v>1580601</v>
      </c>
      <c r="C18" t="s">
        <v>260</v>
      </c>
      <c r="D18" t="s">
        <v>760</v>
      </c>
      <c r="E18" t="s">
        <v>418</v>
      </c>
      <c r="F18" t="s">
        <v>52</v>
      </c>
      <c r="G18" t="s">
        <v>81</v>
      </c>
      <c r="H18" t="s">
        <v>558</v>
      </c>
      <c r="I18" t="s">
        <v>15</v>
      </c>
    </row>
    <row r="19" spans="1:9" x14ac:dyDescent="0.2">
      <c r="A19" t="s">
        <v>110</v>
      </c>
      <c r="B19">
        <v>2438953</v>
      </c>
      <c r="C19" t="s">
        <v>261</v>
      </c>
      <c r="D19" t="s">
        <v>754</v>
      </c>
      <c r="E19" t="s">
        <v>419</v>
      </c>
      <c r="F19" t="s">
        <v>50</v>
      </c>
      <c r="G19" t="s">
        <v>81</v>
      </c>
      <c r="H19" t="s">
        <v>558</v>
      </c>
      <c r="I19" t="s">
        <v>15</v>
      </c>
    </row>
    <row r="20" spans="1:9" x14ac:dyDescent="0.2">
      <c r="A20" t="s">
        <v>111</v>
      </c>
      <c r="B20">
        <v>1324425</v>
      </c>
      <c r="C20" t="s">
        <v>262</v>
      </c>
      <c r="D20" t="s">
        <v>754</v>
      </c>
      <c r="E20" t="s">
        <v>420</v>
      </c>
      <c r="F20" t="s">
        <v>51</v>
      </c>
      <c r="G20" t="s">
        <v>81</v>
      </c>
      <c r="H20" t="s">
        <v>558</v>
      </c>
      <c r="I20" t="s">
        <v>15</v>
      </c>
    </row>
    <row r="21" spans="1:9" x14ac:dyDescent="0.2">
      <c r="A21" t="s">
        <v>112</v>
      </c>
      <c r="B21">
        <v>2401209</v>
      </c>
      <c r="C21" t="s">
        <v>263</v>
      </c>
      <c r="D21" t="s">
        <v>754</v>
      </c>
      <c r="E21" t="s">
        <v>421</v>
      </c>
      <c r="F21" t="s">
        <v>34</v>
      </c>
      <c r="G21" t="s">
        <v>81</v>
      </c>
      <c r="H21" t="s">
        <v>558</v>
      </c>
      <c r="I21" t="s">
        <v>20</v>
      </c>
    </row>
    <row r="22" spans="1:9" x14ac:dyDescent="0.2">
      <c r="A22" t="s">
        <v>113</v>
      </c>
      <c r="B22">
        <v>2378844</v>
      </c>
      <c r="C22" t="s">
        <v>264</v>
      </c>
      <c r="D22" t="s">
        <v>754</v>
      </c>
      <c r="E22" t="s">
        <v>422</v>
      </c>
      <c r="F22" t="s">
        <v>33</v>
      </c>
      <c r="G22" t="s">
        <v>81</v>
      </c>
      <c r="H22" t="s">
        <v>558</v>
      </c>
      <c r="I22" t="s">
        <v>19</v>
      </c>
    </row>
    <row r="23" spans="1:9" x14ac:dyDescent="0.2">
      <c r="A23" t="s">
        <v>114</v>
      </c>
      <c r="B23">
        <v>664824</v>
      </c>
      <c r="C23" t="s">
        <v>265</v>
      </c>
      <c r="D23" t="s">
        <v>754</v>
      </c>
      <c r="E23" t="s">
        <v>423</v>
      </c>
      <c r="F23" t="s">
        <v>49</v>
      </c>
      <c r="G23" t="s">
        <v>81</v>
      </c>
      <c r="H23" t="s">
        <v>558</v>
      </c>
      <c r="I23" t="s">
        <v>20</v>
      </c>
    </row>
    <row r="24" spans="1:9" x14ac:dyDescent="0.2">
      <c r="A24" t="s">
        <v>115</v>
      </c>
      <c r="B24">
        <v>2197709</v>
      </c>
      <c r="C24" t="s">
        <v>266</v>
      </c>
      <c r="D24" t="s">
        <v>754</v>
      </c>
      <c r="E24" t="s">
        <v>424</v>
      </c>
      <c r="F24" t="s">
        <v>34</v>
      </c>
      <c r="G24" t="s">
        <v>81</v>
      </c>
      <c r="H24" t="s">
        <v>558</v>
      </c>
      <c r="I24" t="s">
        <v>15</v>
      </c>
    </row>
    <row r="25" spans="1:9" x14ac:dyDescent="0.2">
      <c r="A25" t="s">
        <v>116</v>
      </c>
      <c r="B25">
        <v>676189</v>
      </c>
      <c r="C25" t="s">
        <v>267</v>
      </c>
      <c r="D25" t="s">
        <v>761</v>
      </c>
      <c r="E25" t="s">
        <v>425</v>
      </c>
      <c r="F25" t="s">
        <v>34</v>
      </c>
      <c r="G25" t="s">
        <v>81</v>
      </c>
      <c r="H25" t="s">
        <v>558</v>
      </c>
      <c r="I25" t="s">
        <v>16</v>
      </c>
    </row>
    <row r="26" spans="1:9" x14ac:dyDescent="0.2">
      <c r="A26" t="s">
        <v>117</v>
      </c>
      <c r="B26">
        <v>932875</v>
      </c>
      <c r="C26" t="s">
        <v>268</v>
      </c>
      <c r="D26" t="s">
        <v>754</v>
      </c>
      <c r="E26" t="s">
        <v>426</v>
      </c>
      <c r="F26" t="s">
        <v>731</v>
      </c>
      <c r="G26" t="s">
        <v>81</v>
      </c>
      <c r="H26" t="s">
        <v>558</v>
      </c>
      <c r="I26" t="s">
        <v>16</v>
      </c>
    </row>
    <row r="27" spans="1:9" x14ac:dyDescent="0.2">
      <c r="A27" t="s">
        <v>118</v>
      </c>
      <c r="B27">
        <v>2210969</v>
      </c>
      <c r="C27" t="s">
        <v>269</v>
      </c>
      <c r="D27" t="s">
        <v>754</v>
      </c>
      <c r="E27" t="s">
        <v>427</v>
      </c>
      <c r="F27" t="s">
        <v>33</v>
      </c>
      <c r="G27" t="s">
        <v>81</v>
      </c>
      <c r="H27" t="s">
        <v>558</v>
      </c>
      <c r="I27" t="s">
        <v>15</v>
      </c>
    </row>
    <row r="28" spans="1:9" x14ac:dyDescent="0.2">
      <c r="A28" t="s">
        <v>119</v>
      </c>
      <c r="B28">
        <v>2341310</v>
      </c>
      <c r="C28" t="s">
        <v>270</v>
      </c>
      <c r="D28" t="s">
        <v>762</v>
      </c>
      <c r="E28" t="s">
        <v>428</v>
      </c>
      <c r="F28" t="s">
        <v>60</v>
      </c>
      <c r="G28" t="s">
        <v>85</v>
      </c>
      <c r="H28" t="s">
        <v>558</v>
      </c>
      <c r="I28" t="s">
        <v>16</v>
      </c>
    </row>
    <row r="29" spans="1:9" x14ac:dyDescent="0.2">
      <c r="A29" t="s">
        <v>13</v>
      </c>
      <c r="B29">
        <v>2211235</v>
      </c>
      <c r="C29" t="s">
        <v>8</v>
      </c>
      <c r="D29" t="s">
        <v>763</v>
      </c>
      <c r="E29" t="s">
        <v>429</v>
      </c>
      <c r="F29" t="s">
        <v>61</v>
      </c>
      <c r="G29" t="s">
        <v>85</v>
      </c>
      <c r="H29" t="s">
        <v>558</v>
      </c>
      <c r="I29" t="s">
        <v>21</v>
      </c>
    </row>
    <row r="30" spans="1:9" x14ac:dyDescent="0.2">
      <c r="A30" t="s">
        <v>120</v>
      </c>
      <c r="B30">
        <v>2412312</v>
      </c>
      <c r="C30" t="s">
        <v>271</v>
      </c>
      <c r="D30" t="s">
        <v>797</v>
      </c>
      <c r="E30" t="s">
        <v>430</v>
      </c>
      <c r="F30" t="s">
        <v>62</v>
      </c>
      <c r="G30" t="s">
        <v>86</v>
      </c>
      <c r="H30" t="s">
        <v>558</v>
      </c>
      <c r="I30" t="s">
        <v>15</v>
      </c>
    </row>
    <row r="31" spans="1:9" x14ac:dyDescent="0.2">
      <c r="A31" t="s">
        <v>121</v>
      </c>
      <c r="B31">
        <v>2207445</v>
      </c>
      <c r="C31" t="s">
        <v>272</v>
      </c>
      <c r="D31" t="s">
        <v>754</v>
      </c>
      <c r="E31" t="s">
        <v>431</v>
      </c>
      <c r="F31" t="s">
        <v>62</v>
      </c>
      <c r="G31" t="s">
        <v>86</v>
      </c>
      <c r="H31" t="s">
        <v>558</v>
      </c>
      <c r="I31" t="s">
        <v>15</v>
      </c>
    </row>
    <row r="32" spans="1:9" x14ac:dyDescent="0.2">
      <c r="A32" t="s">
        <v>122</v>
      </c>
      <c r="B32">
        <v>2348751</v>
      </c>
      <c r="C32" t="s">
        <v>273</v>
      </c>
      <c r="D32" t="s">
        <v>754</v>
      </c>
      <c r="E32" t="s">
        <v>432</v>
      </c>
      <c r="F32" t="s">
        <v>732</v>
      </c>
      <c r="G32" t="s">
        <v>88</v>
      </c>
      <c r="H32" t="s">
        <v>558</v>
      </c>
      <c r="I32" t="s">
        <v>15</v>
      </c>
    </row>
    <row r="33" spans="1:9" x14ac:dyDescent="0.2">
      <c r="A33" t="s">
        <v>123</v>
      </c>
      <c r="B33">
        <v>871945</v>
      </c>
      <c r="C33" t="s">
        <v>274</v>
      </c>
      <c r="D33" t="s">
        <v>764</v>
      </c>
      <c r="E33" t="s">
        <v>433</v>
      </c>
      <c r="F33" t="s">
        <v>64</v>
      </c>
      <c r="G33" t="s">
        <v>88</v>
      </c>
      <c r="H33" t="s">
        <v>558</v>
      </c>
      <c r="I33" t="s">
        <v>15</v>
      </c>
    </row>
    <row r="34" spans="1:9" x14ac:dyDescent="0.2">
      <c r="A34" t="s">
        <v>124</v>
      </c>
      <c r="B34">
        <v>574162</v>
      </c>
      <c r="C34" t="s">
        <v>275</v>
      </c>
      <c r="D34" t="s">
        <v>754</v>
      </c>
      <c r="E34" t="s">
        <v>434</v>
      </c>
      <c r="F34" t="s">
        <v>43</v>
      </c>
      <c r="G34" t="s">
        <v>88</v>
      </c>
      <c r="H34" t="s">
        <v>558</v>
      </c>
      <c r="I34" t="s">
        <v>712</v>
      </c>
    </row>
    <row r="35" spans="1:9" x14ac:dyDescent="0.2">
      <c r="A35" t="s">
        <v>125</v>
      </c>
      <c r="B35">
        <v>2360099</v>
      </c>
      <c r="C35" t="s">
        <v>276</v>
      </c>
      <c r="D35" t="s">
        <v>754</v>
      </c>
      <c r="E35" t="s">
        <v>435</v>
      </c>
      <c r="F35" t="s">
        <v>44</v>
      </c>
      <c r="G35" t="s">
        <v>90</v>
      </c>
      <c r="H35" t="s">
        <v>558</v>
      </c>
      <c r="I35" t="s">
        <v>16</v>
      </c>
    </row>
    <row r="36" spans="1:9" x14ac:dyDescent="0.2">
      <c r="A36" t="s">
        <v>126</v>
      </c>
      <c r="B36">
        <v>2318669</v>
      </c>
      <c r="C36" t="s">
        <v>277</v>
      </c>
      <c r="D36" t="s">
        <v>754</v>
      </c>
      <c r="E36" t="s">
        <v>436</v>
      </c>
      <c r="F36" t="s">
        <v>65</v>
      </c>
      <c r="G36" t="s">
        <v>88</v>
      </c>
      <c r="H36" t="s">
        <v>558</v>
      </c>
      <c r="I36" t="s">
        <v>16</v>
      </c>
    </row>
    <row r="37" spans="1:9" x14ac:dyDescent="0.2">
      <c r="A37" t="s">
        <v>127</v>
      </c>
      <c r="B37">
        <v>1692507</v>
      </c>
      <c r="C37" t="s">
        <v>278</v>
      </c>
      <c r="D37" t="s">
        <v>754</v>
      </c>
      <c r="E37" t="s">
        <v>437</v>
      </c>
      <c r="F37" t="s">
        <v>65</v>
      </c>
      <c r="G37" t="s">
        <v>88</v>
      </c>
      <c r="H37" t="s">
        <v>560</v>
      </c>
      <c r="I37" t="s">
        <v>18</v>
      </c>
    </row>
    <row r="38" spans="1:9" x14ac:dyDescent="0.2">
      <c r="A38" t="s">
        <v>128</v>
      </c>
      <c r="B38">
        <v>1420200</v>
      </c>
      <c r="C38" t="s">
        <v>279</v>
      </c>
      <c r="D38" t="s">
        <v>754</v>
      </c>
      <c r="E38" t="s">
        <v>438</v>
      </c>
      <c r="F38" t="s">
        <v>43</v>
      </c>
      <c r="G38" t="s">
        <v>88</v>
      </c>
      <c r="H38" t="s">
        <v>558</v>
      </c>
      <c r="I38" t="s">
        <v>20</v>
      </c>
    </row>
    <row r="39" spans="1:9" x14ac:dyDescent="0.2">
      <c r="A39" t="s">
        <v>129</v>
      </c>
      <c r="B39">
        <v>819791</v>
      </c>
      <c r="C39" t="s">
        <v>280</v>
      </c>
      <c r="D39" t="s">
        <v>765</v>
      </c>
      <c r="E39" t="s">
        <v>439</v>
      </c>
      <c r="F39" t="s">
        <v>48</v>
      </c>
      <c r="G39" t="s">
        <v>89</v>
      </c>
      <c r="H39" t="s">
        <v>558</v>
      </c>
      <c r="I39" t="s">
        <v>16</v>
      </c>
    </row>
    <row r="40" spans="1:9" x14ac:dyDescent="0.2">
      <c r="A40" t="s">
        <v>130</v>
      </c>
      <c r="B40">
        <v>2226437</v>
      </c>
      <c r="C40" t="s">
        <v>281</v>
      </c>
      <c r="D40" t="s">
        <v>754</v>
      </c>
      <c r="E40" t="s">
        <v>440</v>
      </c>
      <c r="F40" t="s">
        <v>70</v>
      </c>
      <c r="G40" t="s">
        <v>90</v>
      </c>
      <c r="H40" t="s">
        <v>558</v>
      </c>
      <c r="I40" t="s">
        <v>15</v>
      </c>
    </row>
    <row r="41" spans="1:9" x14ac:dyDescent="0.2">
      <c r="A41" t="s">
        <v>131</v>
      </c>
      <c r="B41">
        <v>2345938</v>
      </c>
      <c r="C41" t="s">
        <v>282</v>
      </c>
      <c r="D41" t="s">
        <v>766</v>
      </c>
      <c r="E41" t="s">
        <v>441</v>
      </c>
      <c r="F41" t="s">
        <v>47</v>
      </c>
      <c r="G41" t="s">
        <v>89</v>
      </c>
      <c r="H41" t="s">
        <v>558</v>
      </c>
      <c r="I41" t="s">
        <v>16</v>
      </c>
    </row>
    <row r="42" spans="1:9" x14ac:dyDescent="0.2">
      <c r="A42" t="s">
        <v>132</v>
      </c>
      <c r="B42">
        <v>761659</v>
      </c>
      <c r="C42" t="s">
        <v>283</v>
      </c>
      <c r="D42" t="s">
        <v>754</v>
      </c>
      <c r="E42" t="s">
        <v>442</v>
      </c>
      <c r="F42" t="s">
        <v>29</v>
      </c>
      <c r="G42" t="s">
        <v>91</v>
      </c>
      <c r="H42" t="s">
        <v>558</v>
      </c>
      <c r="I42" t="s">
        <v>19</v>
      </c>
    </row>
    <row r="43" spans="1:9" x14ac:dyDescent="0.2">
      <c r="A43" t="s">
        <v>133</v>
      </c>
      <c r="B43">
        <v>2281461</v>
      </c>
      <c r="C43" t="s">
        <v>284</v>
      </c>
      <c r="D43" t="s">
        <v>754</v>
      </c>
      <c r="E43" t="s">
        <v>443</v>
      </c>
      <c r="F43" t="s">
        <v>733</v>
      </c>
      <c r="G43" t="s">
        <v>91</v>
      </c>
      <c r="H43" t="s">
        <v>558</v>
      </c>
      <c r="I43" t="s">
        <v>20</v>
      </c>
    </row>
    <row r="44" spans="1:9" x14ac:dyDescent="0.2">
      <c r="A44" t="s">
        <v>134</v>
      </c>
      <c r="B44">
        <v>2120834</v>
      </c>
      <c r="C44" t="s">
        <v>285</v>
      </c>
      <c r="D44" t="s">
        <v>754</v>
      </c>
      <c r="E44" t="s">
        <v>444</v>
      </c>
      <c r="F44" t="s">
        <v>734</v>
      </c>
      <c r="G44" t="s">
        <v>91</v>
      </c>
      <c r="H44" t="s">
        <v>558</v>
      </c>
      <c r="I44" t="s">
        <v>20</v>
      </c>
    </row>
    <row r="45" spans="1:9" x14ac:dyDescent="0.2">
      <c r="A45" t="s">
        <v>135</v>
      </c>
      <c r="B45">
        <v>2255319</v>
      </c>
      <c r="C45" t="s">
        <v>286</v>
      </c>
      <c r="D45" t="s">
        <v>754</v>
      </c>
      <c r="E45" t="s">
        <v>445</v>
      </c>
      <c r="F45" t="s">
        <v>734</v>
      </c>
      <c r="G45" t="s">
        <v>91</v>
      </c>
      <c r="H45" t="s">
        <v>558</v>
      </c>
      <c r="I45" t="s">
        <v>16</v>
      </c>
    </row>
    <row r="46" spans="1:9" x14ac:dyDescent="0.2">
      <c r="A46" t="s">
        <v>136</v>
      </c>
      <c r="B46">
        <v>724541</v>
      </c>
      <c r="C46" t="s">
        <v>287</v>
      </c>
      <c r="D46" t="s">
        <v>767</v>
      </c>
      <c r="E46" t="s">
        <v>446</v>
      </c>
      <c r="F46" t="s">
        <v>46</v>
      </c>
      <c r="G46" t="s">
        <v>92</v>
      </c>
      <c r="H46" t="s">
        <v>558</v>
      </c>
      <c r="I46" t="s">
        <v>16</v>
      </c>
    </row>
    <row r="47" spans="1:9" x14ac:dyDescent="0.2">
      <c r="A47" t="s">
        <v>137</v>
      </c>
      <c r="B47">
        <v>2440949</v>
      </c>
      <c r="C47" t="s">
        <v>288</v>
      </c>
      <c r="D47" t="s">
        <v>754</v>
      </c>
      <c r="E47" t="s">
        <v>447</v>
      </c>
      <c r="F47" t="s">
        <v>74</v>
      </c>
      <c r="G47" t="s">
        <v>92</v>
      </c>
      <c r="H47" t="s">
        <v>558</v>
      </c>
      <c r="I47" t="s">
        <v>15</v>
      </c>
    </row>
    <row r="48" spans="1:9" x14ac:dyDescent="0.2">
      <c r="A48" t="s">
        <v>138</v>
      </c>
      <c r="B48">
        <v>1475392</v>
      </c>
      <c r="C48" t="s">
        <v>289</v>
      </c>
      <c r="D48" t="s">
        <v>754</v>
      </c>
      <c r="E48" t="s">
        <v>448</v>
      </c>
      <c r="F48" t="s">
        <v>74</v>
      </c>
      <c r="G48" t="s">
        <v>92</v>
      </c>
      <c r="H48" t="s">
        <v>558</v>
      </c>
      <c r="I48" t="s">
        <v>15</v>
      </c>
    </row>
    <row r="49" spans="1:9" x14ac:dyDescent="0.2">
      <c r="A49" t="s">
        <v>139</v>
      </c>
      <c r="B49">
        <v>1829878</v>
      </c>
      <c r="C49" t="s">
        <v>290</v>
      </c>
      <c r="D49" t="s">
        <v>754</v>
      </c>
      <c r="E49" t="s">
        <v>449</v>
      </c>
      <c r="F49" t="s">
        <v>74</v>
      </c>
      <c r="G49" t="s">
        <v>92</v>
      </c>
      <c r="H49" t="s">
        <v>558</v>
      </c>
      <c r="I49" t="s">
        <v>20</v>
      </c>
    </row>
    <row r="50" spans="1:9" x14ac:dyDescent="0.2">
      <c r="A50" t="s">
        <v>140</v>
      </c>
      <c r="B50">
        <v>510031</v>
      </c>
      <c r="C50" t="s">
        <v>291</v>
      </c>
      <c r="D50" t="s">
        <v>754</v>
      </c>
      <c r="E50" t="s">
        <v>450</v>
      </c>
      <c r="F50" t="s">
        <v>74</v>
      </c>
      <c r="G50" t="s">
        <v>92</v>
      </c>
      <c r="H50" t="s">
        <v>558</v>
      </c>
      <c r="I50" t="s">
        <v>15</v>
      </c>
    </row>
    <row r="51" spans="1:9" x14ac:dyDescent="0.2">
      <c r="A51" t="s">
        <v>141</v>
      </c>
      <c r="B51">
        <v>2121329</v>
      </c>
      <c r="C51" t="s">
        <v>292</v>
      </c>
      <c r="D51" t="s">
        <v>754</v>
      </c>
      <c r="E51" t="s">
        <v>451</v>
      </c>
      <c r="F51" t="s">
        <v>73</v>
      </c>
      <c r="G51" t="s">
        <v>92</v>
      </c>
      <c r="H51" t="s">
        <v>558</v>
      </c>
      <c r="I51" t="s">
        <v>15</v>
      </c>
    </row>
    <row r="52" spans="1:9" x14ac:dyDescent="0.2">
      <c r="A52" t="s">
        <v>142</v>
      </c>
      <c r="B52">
        <v>1322114</v>
      </c>
      <c r="C52" t="s">
        <v>293</v>
      </c>
      <c r="D52" t="s">
        <v>754</v>
      </c>
      <c r="E52" t="s">
        <v>452</v>
      </c>
      <c r="F52" t="s">
        <v>735</v>
      </c>
      <c r="G52" t="s">
        <v>93</v>
      </c>
      <c r="H52" t="s">
        <v>558</v>
      </c>
      <c r="I52" t="s">
        <v>18</v>
      </c>
    </row>
    <row r="53" spans="1:9" x14ac:dyDescent="0.2">
      <c r="A53" t="s">
        <v>143</v>
      </c>
      <c r="B53">
        <v>2360357</v>
      </c>
      <c r="C53" t="s">
        <v>294</v>
      </c>
      <c r="D53" t="s">
        <v>754</v>
      </c>
      <c r="E53" t="s">
        <v>453</v>
      </c>
      <c r="F53" t="s">
        <v>30</v>
      </c>
      <c r="G53" t="s">
        <v>93</v>
      </c>
      <c r="H53" t="s">
        <v>558</v>
      </c>
      <c r="I53" t="s">
        <v>15</v>
      </c>
    </row>
    <row r="54" spans="1:9" x14ac:dyDescent="0.2">
      <c r="A54" t="s">
        <v>144</v>
      </c>
      <c r="B54">
        <v>2410662</v>
      </c>
      <c r="C54" t="s">
        <v>295</v>
      </c>
      <c r="D54" t="s">
        <v>798</v>
      </c>
      <c r="E54" t="s">
        <v>454</v>
      </c>
      <c r="F54" t="s">
        <v>75</v>
      </c>
      <c r="G54" t="s">
        <v>93</v>
      </c>
      <c r="H54" t="s">
        <v>558</v>
      </c>
      <c r="I54" t="s">
        <v>16</v>
      </c>
    </row>
    <row r="55" spans="1:9" x14ac:dyDescent="0.2">
      <c r="A55" t="s">
        <v>145</v>
      </c>
      <c r="B55">
        <v>2336543</v>
      </c>
      <c r="C55" t="s">
        <v>296</v>
      </c>
      <c r="D55" t="s">
        <v>754</v>
      </c>
      <c r="E55" t="s">
        <v>455</v>
      </c>
      <c r="F55" t="s">
        <v>31</v>
      </c>
      <c r="G55" t="s">
        <v>87</v>
      </c>
      <c r="H55" t="s">
        <v>558</v>
      </c>
      <c r="I55" t="s">
        <v>15</v>
      </c>
    </row>
    <row r="56" spans="1:9" x14ac:dyDescent="0.2">
      <c r="A56" t="s">
        <v>146</v>
      </c>
      <c r="B56">
        <v>2302253</v>
      </c>
      <c r="C56" t="s">
        <v>297</v>
      </c>
      <c r="D56" t="s">
        <v>754</v>
      </c>
      <c r="E56" t="s">
        <v>456</v>
      </c>
      <c r="F56" t="s">
        <v>736</v>
      </c>
      <c r="G56" t="s">
        <v>87</v>
      </c>
      <c r="H56" t="s">
        <v>558</v>
      </c>
      <c r="I56" t="s">
        <v>16</v>
      </c>
    </row>
    <row r="57" spans="1:9" x14ac:dyDescent="0.2">
      <c r="A57" t="s">
        <v>147</v>
      </c>
      <c r="B57">
        <v>2025362</v>
      </c>
      <c r="C57" t="s">
        <v>298</v>
      </c>
      <c r="D57" t="s">
        <v>754</v>
      </c>
      <c r="E57" t="s">
        <v>457</v>
      </c>
      <c r="F57" t="s">
        <v>31</v>
      </c>
      <c r="G57" t="s">
        <v>87</v>
      </c>
      <c r="H57" t="s">
        <v>558</v>
      </c>
      <c r="I57" t="s">
        <v>15</v>
      </c>
    </row>
    <row r="58" spans="1:9" x14ac:dyDescent="0.2">
      <c r="A58" t="s">
        <v>148</v>
      </c>
      <c r="B58">
        <v>2185196</v>
      </c>
      <c r="C58" t="s">
        <v>299</v>
      </c>
      <c r="D58" t="s">
        <v>754</v>
      </c>
      <c r="E58" t="s">
        <v>458</v>
      </c>
      <c r="F58" t="s">
        <v>31</v>
      </c>
      <c r="G58" t="s">
        <v>87</v>
      </c>
      <c r="H58" t="s">
        <v>558</v>
      </c>
      <c r="I58" t="s">
        <v>16</v>
      </c>
    </row>
    <row r="59" spans="1:9" x14ac:dyDescent="0.2">
      <c r="A59" t="s">
        <v>149</v>
      </c>
      <c r="B59">
        <v>2384005</v>
      </c>
      <c r="C59" t="s">
        <v>300</v>
      </c>
      <c r="D59" t="s">
        <v>754</v>
      </c>
      <c r="E59" t="s">
        <v>459</v>
      </c>
      <c r="F59" t="s">
        <v>57</v>
      </c>
      <c r="G59" t="s">
        <v>82</v>
      </c>
      <c r="H59" t="s">
        <v>560</v>
      </c>
      <c r="I59" t="s">
        <v>21</v>
      </c>
    </row>
    <row r="60" spans="1:9" x14ac:dyDescent="0.2">
      <c r="A60" t="s">
        <v>150</v>
      </c>
      <c r="B60">
        <v>849102</v>
      </c>
      <c r="C60" t="s">
        <v>301</v>
      </c>
      <c r="D60" t="s">
        <v>768</v>
      </c>
      <c r="E60" t="s">
        <v>460</v>
      </c>
      <c r="F60" t="s">
        <v>56</v>
      </c>
      <c r="G60" t="s">
        <v>82</v>
      </c>
      <c r="H60" t="s">
        <v>560</v>
      </c>
      <c r="I60" t="s">
        <v>17</v>
      </c>
    </row>
    <row r="61" spans="1:9" x14ac:dyDescent="0.2">
      <c r="A61" t="s">
        <v>151</v>
      </c>
      <c r="B61">
        <v>2013367</v>
      </c>
      <c r="C61" t="s">
        <v>302</v>
      </c>
      <c r="D61" t="s">
        <v>769</v>
      </c>
      <c r="E61" t="s">
        <v>461</v>
      </c>
      <c r="F61" t="s">
        <v>40</v>
      </c>
      <c r="G61" t="s">
        <v>83</v>
      </c>
      <c r="H61" t="s">
        <v>560</v>
      </c>
      <c r="I61" t="s">
        <v>19</v>
      </c>
    </row>
    <row r="62" spans="1:9" x14ac:dyDescent="0.2">
      <c r="A62" t="s">
        <v>152</v>
      </c>
      <c r="B62">
        <v>2328549</v>
      </c>
      <c r="C62" t="s">
        <v>303</v>
      </c>
      <c r="D62" t="s">
        <v>770</v>
      </c>
      <c r="E62" t="s">
        <v>462</v>
      </c>
      <c r="F62" t="s">
        <v>41</v>
      </c>
      <c r="G62" t="s">
        <v>83</v>
      </c>
      <c r="H62" t="s">
        <v>560</v>
      </c>
      <c r="I62" t="s">
        <v>15</v>
      </c>
    </row>
    <row r="63" spans="1:9" x14ac:dyDescent="0.2">
      <c r="A63" t="s">
        <v>153</v>
      </c>
      <c r="B63">
        <v>1733391</v>
      </c>
      <c r="C63" t="s">
        <v>304</v>
      </c>
      <c r="D63" t="s">
        <v>754</v>
      </c>
      <c r="E63" t="s">
        <v>463</v>
      </c>
      <c r="F63" t="s">
        <v>34</v>
      </c>
      <c r="G63" t="s">
        <v>81</v>
      </c>
      <c r="H63" t="s">
        <v>560</v>
      </c>
      <c r="I63" t="s">
        <v>16</v>
      </c>
    </row>
    <row r="64" spans="1:9" x14ac:dyDescent="0.2">
      <c r="A64" t="s">
        <v>154</v>
      </c>
      <c r="B64">
        <v>1367365</v>
      </c>
      <c r="C64" t="s">
        <v>305</v>
      </c>
      <c r="D64" t="s">
        <v>771</v>
      </c>
      <c r="E64" t="s">
        <v>464</v>
      </c>
      <c r="F64" t="s">
        <v>34</v>
      </c>
      <c r="G64" t="s">
        <v>81</v>
      </c>
      <c r="H64" t="s">
        <v>560</v>
      </c>
      <c r="I64" t="s">
        <v>712</v>
      </c>
    </row>
    <row r="65" spans="1:9" x14ac:dyDescent="0.2">
      <c r="A65" t="s">
        <v>155</v>
      </c>
      <c r="B65">
        <v>2178441</v>
      </c>
      <c r="C65" t="s">
        <v>306</v>
      </c>
      <c r="D65" t="s">
        <v>772</v>
      </c>
      <c r="E65" t="s">
        <v>465</v>
      </c>
      <c r="F65" t="s">
        <v>38</v>
      </c>
      <c r="G65" t="s">
        <v>81</v>
      </c>
      <c r="H65" t="s">
        <v>560</v>
      </c>
      <c r="I65" t="s">
        <v>15</v>
      </c>
    </row>
    <row r="66" spans="1:9" x14ac:dyDescent="0.2">
      <c r="A66" t="s">
        <v>156</v>
      </c>
      <c r="B66">
        <v>678566</v>
      </c>
      <c r="C66" t="s">
        <v>307</v>
      </c>
      <c r="D66" t="s">
        <v>754</v>
      </c>
      <c r="E66" t="s">
        <v>466</v>
      </c>
      <c r="F66" t="s">
        <v>34</v>
      </c>
      <c r="G66" t="s">
        <v>81</v>
      </c>
      <c r="H66" t="s">
        <v>560</v>
      </c>
      <c r="I66" t="s">
        <v>16</v>
      </c>
    </row>
    <row r="67" spans="1:9" x14ac:dyDescent="0.2">
      <c r="A67" t="s">
        <v>157</v>
      </c>
      <c r="B67">
        <v>1659714</v>
      </c>
      <c r="C67" t="s">
        <v>308</v>
      </c>
      <c r="D67" t="s">
        <v>773</v>
      </c>
      <c r="E67" t="s">
        <v>467</v>
      </c>
      <c r="F67" t="s">
        <v>78</v>
      </c>
      <c r="G67" t="s">
        <v>81</v>
      </c>
      <c r="H67" t="s">
        <v>560</v>
      </c>
      <c r="I67" t="s">
        <v>712</v>
      </c>
    </row>
    <row r="68" spans="1:9" x14ac:dyDescent="0.2">
      <c r="A68" t="s">
        <v>158</v>
      </c>
      <c r="B68">
        <v>509020</v>
      </c>
      <c r="C68" t="s">
        <v>309</v>
      </c>
      <c r="D68" t="s">
        <v>765</v>
      </c>
      <c r="E68" t="s">
        <v>468</v>
      </c>
      <c r="F68" t="s">
        <v>38</v>
      </c>
      <c r="G68" t="s">
        <v>81</v>
      </c>
      <c r="H68" t="s">
        <v>560</v>
      </c>
      <c r="I68" t="s">
        <v>15</v>
      </c>
    </row>
    <row r="69" spans="1:9" x14ac:dyDescent="0.2">
      <c r="A69" t="s">
        <v>159</v>
      </c>
      <c r="B69">
        <v>2138489</v>
      </c>
      <c r="C69" t="s">
        <v>310</v>
      </c>
      <c r="D69" t="s">
        <v>754</v>
      </c>
      <c r="E69" t="s">
        <v>469</v>
      </c>
      <c r="F69" t="s">
        <v>35</v>
      </c>
      <c r="G69" t="s">
        <v>81</v>
      </c>
      <c r="H69" t="s">
        <v>560</v>
      </c>
      <c r="I69" t="s">
        <v>15</v>
      </c>
    </row>
    <row r="70" spans="1:9" x14ac:dyDescent="0.2">
      <c r="A70" t="s">
        <v>10</v>
      </c>
      <c r="B70">
        <v>992208</v>
      </c>
      <c r="C70" t="s">
        <v>5</v>
      </c>
      <c r="D70" t="s">
        <v>32</v>
      </c>
      <c r="E70" t="s">
        <v>470</v>
      </c>
      <c r="F70" t="s">
        <v>36</v>
      </c>
      <c r="G70" t="s">
        <v>81</v>
      </c>
      <c r="H70" t="s">
        <v>560</v>
      </c>
      <c r="I70" t="s">
        <v>16</v>
      </c>
    </row>
    <row r="71" spans="1:9" x14ac:dyDescent="0.2">
      <c r="A71" t="s">
        <v>160</v>
      </c>
      <c r="B71">
        <v>674057</v>
      </c>
      <c r="C71" t="s">
        <v>311</v>
      </c>
      <c r="D71" t="s">
        <v>774</v>
      </c>
      <c r="E71" t="s">
        <v>471</v>
      </c>
      <c r="F71" t="s">
        <v>33</v>
      </c>
      <c r="G71" t="s">
        <v>81</v>
      </c>
      <c r="H71" t="s">
        <v>560</v>
      </c>
      <c r="I71" t="s">
        <v>15</v>
      </c>
    </row>
    <row r="72" spans="1:9" x14ac:dyDescent="0.2">
      <c r="A72" t="s">
        <v>161</v>
      </c>
      <c r="B72">
        <v>857400</v>
      </c>
      <c r="C72" t="s">
        <v>312</v>
      </c>
      <c r="D72" t="s">
        <v>754</v>
      </c>
      <c r="E72" t="s">
        <v>472</v>
      </c>
      <c r="F72" t="s">
        <v>399</v>
      </c>
      <c r="G72" t="s">
        <v>81</v>
      </c>
      <c r="H72" t="s">
        <v>560</v>
      </c>
      <c r="I72" t="s">
        <v>15</v>
      </c>
    </row>
    <row r="73" spans="1:9" x14ac:dyDescent="0.2">
      <c r="A73" t="s">
        <v>162</v>
      </c>
      <c r="B73">
        <v>1383895</v>
      </c>
      <c r="C73" t="s">
        <v>313</v>
      </c>
      <c r="D73" t="s">
        <v>754</v>
      </c>
      <c r="E73" t="s">
        <v>473</v>
      </c>
      <c r="F73" t="s">
        <v>38</v>
      </c>
      <c r="G73" t="s">
        <v>81</v>
      </c>
      <c r="H73" t="s">
        <v>560</v>
      </c>
      <c r="I73" t="s">
        <v>18</v>
      </c>
    </row>
    <row r="74" spans="1:9" x14ac:dyDescent="0.2">
      <c r="A74" t="s">
        <v>163</v>
      </c>
      <c r="B74">
        <v>2334854</v>
      </c>
      <c r="C74" t="s">
        <v>314</v>
      </c>
      <c r="D74" t="s">
        <v>754</v>
      </c>
      <c r="E74" t="s">
        <v>474</v>
      </c>
      <c r="F74" t="s">
        <v>60</v>
      </c>
      <c r="G74" t="s">
        <v>85</v>
      </c>
      <c r="H74" t="s">
        <v>559</v>
      </c>
      <c r="I74" t="s">
        <v>16</v>
      </c>
    </row>
    <row r="75" spans="1:9" x14ac:dyDescent="0.2">
      <c r="A75" t="s">
        <v>164</v>
      </c>
      <c r="B75">
        <v>2349444</v>
      </c>
      <c r="C75" t="s">
        <v>315</v>
      </c>
      <c r="D75" t="s">
        <v>775</v>
      </c>
      <c r="E75" t="s">
        <v>475</v>
      </c>
      <c r="F75" t="s">
        <v>62</v>
      </c>
      <c r="G75" t="s">
        <v>86</v>
      </c>
      <c r="H75" t="s">
        <v>560</v>
      </c>
      <c r="I75" t="s">
        <v>16</v>
      </c>
    </row>
    <row r="76" spans="1:9" x14ac:dyDescent="0.2">
      <c r="A76" t="s">
        <v>165</v>
      </c>
      <c r="B76">
        <v>2323715</v>
      </c>
      <c r="C76" t="s">
        <v>316</v>
      </c>
      <c r="D76" t="s">
        <v>776</v>
      </c>
      <c r="E76" t="s">
        <v>476</v>
      </c>
      <c r="F76" t="s">
        <v>62</v>
      </c>
      <c r="G76" t="s">
        <v>86</v>
      </c>
      <c r="H76" t="s">
        <v>560</v>
      </c>
      <c r="I76" t="s">
        <v>712</v>
      </c>
    </row>
    <row r="77" spans="1:9" x14ac:dyDescent="0.2">
      <c r="A77" t="s">
        <v>166</v>
      </c>
      <c r="B77">
        <v>2388693</v>
      </c>
      <c r="C77" t="s">
        <v>317</v>
      </c>
      <c r="D77" t="s">
        <v>754</v>
      </c>
      <c r="E77" t="s">
        <v>477</v>
      </c>
      <c r="F77" t="s">
        <v>65</v>
      </c>
      <c r="G77" t="s">
        <v>88</v>
      </c>
      <c r="H77" t="s">
        <v>560</v>
      </c>
      <c r="I77" t="s">
        <v>16</v>
      </c>
    </row>
    <row r="78" spans="1:9" x14ac:dyDescent="0.2">
      <c r="A78" t="s">
        <v>167</v>
      </c>
      <c r="B78">
        <v>2337755</v>
      </c>
      <c r="C78" t="s">
        <v>318</v>
      </c>
      <c r="D78" t="s">
        <v>777</v>
      </c>
      <c r="E78" t="s">
        <v>478</v>
      </c>
      <c r="F78" t="s">
        <v>65</v>
      </c>
      <c r="G78" t="s">
        <v>88</v>
      </c>
      <c r="H78" t="s">
        <v>560</v>
      </c>
      <c r="I78" t="s">
        <v>717</v>
      </c>
    </row>
    <row r="79" spans="1:9" x14ac:dyDescent="0.2">
      <c r="A79" t="s">
        <v>168</v>
      </c>
      <c r="B79">
        <v>2327880</v>
      </c>
      <c r="C79" t="s">
        <v>319</v>
      </c>
      <c r="D79" t="s">
        <v>754</v>
      </c>
      <c r="E79" t="s">
        <v>479</v>
      </c>
      <c r="F79" t="s">
        <v>64</v>
      </c>
      <c r="G79" t="s">
        <v>88</v>
      </c>
      <c r="H79" t="s">
        <v>560</v>
      </c>
      <c r="I79" t="s">
        <v>16</v>
      </c>
    </row>
    <row r="80" spans="1:9" x14ac:dyDescent="0.2">
      <c r="A80" t="s">
        <v>169</v>
      </c>
      <c r="B80">
        <v>1387879</v>
      </c>
      <c r="C80" t="s">
        <v>320</v>
      </c>
      <c r="D80" t="s">
        <v>754</v>
      </c>
      <c r="E80" t="s">
        <v>480</v>
      </c>
      <c r="F80" t="s">
        <v>66</v>
      </c>
      <c r="G80" t="s">
        <v>90</v>
      </c>
      <c r="H80" t="s">
        <v>560</v>
      </c>
      <c r="I80" t="s">
        <v>15</v>
      </c>
    </row>
    <row r="81" spans="1:9" x14ac:dyDescent="0.2">
      <c r="A81" t="s">
        <v>170</v>
      </c>
      <c r="B81">
        <v>1718174</v>
      </c>
      <c r="C81" t="s">
        <v>321</v>
      </c>
      <c r="D81" t="s">
        <v>754</v>
      </c>
      <c r="E81" t="s">
        <v>481</v>
      </c>
      <c r="F81" t="s">
        <v>64</v>
      </c>
      <c r="G81" t="s">
        <v>88</v>
      </c>
      <c r="H81" t="s">
        <v>560</v>
      </c>
      <c r="I81" t="s">
        <v>15</v>
      </c>
    </row>
    <row r="82" spans="1:9" x14ac:dyDescent="0.2">
      <c r="A82" t="s">
        <v>171</v>
      </c>
      <c r="B82">
        <v>1654521</v>
      </c>
      <c r="C82" t="s">
        <v>322</v>
      </c>
      <c r="D82" t="s">
        <v>754</v>
      </c>
      <c r="E82" t="s">
        <v>482</v>
      </c>
      <c r="F82" t="s">
        <v>64</v>
      </c>
      <c r="G82" t="s">
        <v>88</v>
      </c>
      <c r="H82" t="s">
        <v>560</v>
      </c>
      <c r="I82" t="s">
        <v>21</v>
      </c>
    </row>
    <row r="83" spans="1:9" x14ac:dyDescent="0.2">
      <c r="A83" t="s">
        <v>172</v>
      </c>
      <c r="B83">
        <v>1673022</v>
      </c>
      <c r="C83" t="s">
        <v>323</v>
      </c>
      <c r="D83" t="s">
        <v>754</v>
      </c>
      <c r="E83" t="s">
        <v>483</v>
      </c>
      <c r="F83" t="s">
        <v>737</v>
      </c>
      <c r="G83" t="s">
        <v>88</v>
      </c>
      <c r="H83" t="s">
        <v>559</v>
      </c>
      <c r="I83" t="s">
        <v>15</v>
      </c>
    </row>
    <row r="84" spans="1:9" x14ac:dyDescent="0.2">
      <c r="A84" t="s">
        <v>173</v>
      </c>
      <c r="B84">
        <v>584189</v>
      </c>
      <c r="C84" t="s">
        <v>324</v>
      </c>
      <c r="D84" t="s">
        <v>778</v>
      </c>
      <c r="E84" t="s">
        <v>484</v>
      </c>
      <c r="F84" t="s">
        <v>47</v>
      </c>
      <c r="G84" t="s">
        <v>89</v>
      </c>
      <c r="H84" t="s">
        <v>560</v>
      </c>
      <c r="I84" t="s">
        <v>15</v>
      </c>
    </row>
    <row r="85" spans="1:9" x14ac:dyDescent="0.2">
      <c r="A85" t="s">
        <v>174</v>
      </c>
      <c r="B85">
        <v>1355120</v>
      </c>
      <c r="C85" t="s">
        <v>325</v>
      </c>
      <c r="D85" t="s">
        <v>754</v>
      </c>
      <c r="E85" t="s">
        <v>485</v>
      </c>
      <c r="F85" t="s">
        <v>738</v>
      </c>
      <c r="G85" t="s">
        <v>89</v>
      </c>
      <c r="H85" t="s">
        <v>560</v>
      </c>
      <c r="I85" t="s">
        <v>15</v>
      </c>
    </row>
    <row r="86" spans="1:9" x14ac:dyDescent="0.2">
      <c r="A86" t="s">
        <v>175</v>
      </c>
      <c r="B86">
        <v>2154830</v>
      </c>
      <c r="C86" t="s">
        <v>326</v>
      </c>
      <c r="D86" t="s">
        <v>754</v>
      </c>
      <c r="E86" t="s">
        <v>486</v>
      </c>
      <c r="F86" t="s">
        <v>68</v>
      </c>
      <c r="G86" t="s">
        <v>89</v>
      </c>
      <c r="H86" t="s">
        <v>560</v>
      </c>
      <c r="I86" t="s">
        <v>18</v>
      </c>
    </row>
    <row r="87" spans="1:9" x14ac:dyDescent="0.2">
      <c r="A87" t="s">
        <v>176</v>
      </c>
      <c r="B87">
        <v>2299624</v>
      </c>
      <c r="C87" t="s">
        <v>327</v>
      </c>
      <c r="D87" t="s">
        <v>799</v>
      </c>
      <c r="E87" t="s">
        <v>487</v>
      </c>
      <c r="F87" t="s">
        <v>725</v>
      </c>
      <c r="G87" t="s">
        <v>91</v>
      </c>
      <c r="H87" t="s">
        <v>560</v>
      </c>
      <c r="I87" t="s">
        <v>715</v>
      </c>
    </row>
    <row r="88" spans="1:9" x14ac:dyDescent="0.2">
      <c r="A88" t="s">
        <v>177</v>
      </c>
      <c r="B88">
        <v>605988</v>
      </c>
      <c r="C88" t="s">
        <v>328</v>
      </c>
      <c r="D88" t="s">
        <v>779</v>
      </c>
      <c r="E88" t="s">
        <v>488</v>
      </c>
      <c r="F88" t="s">
        <v>29</v>
      </c>
      <c r="G88" t="s">
        <v>91</v>
      </c>
      <c r="H88" t="s">
        <v>560</v>
      </c>
      <c r="I88" t="s">
        <v>18</v>
      </c>
    </row>
    <row r="89" spans="1:9" x14ac:dyDescent="0.2">
      <c r="A89" t="s">
        <v>178</v>
      </c>
      <c r="B89">
        <v>1713890</v>
      </c>
      <c r="C89" t="s">
        <v>329</v>
      </c>
      <c r="D89" t="s">
        <v>800</v>
      </c>
      <c r="E89" t="s">
        <v>489</v>
      </c>
      <c r="F89" t="s">
        <v>29</v>
      </c>
      <c r="G89" t="s">
        <v>91</v>
      </c>
      <c r="H89" t="s">
        <v>560</v>
      </c>
      <c r="I89" t="s">
        <v>20</v>
      </c>
    </row>
    <row r="90" spans="1:9" x14ac:dyDescent="0.2">
      <c r="A90" t="s">
        <v>179</v>
      </c>
      <c r="B90">
        <v>2361604</v>
      </c>
      <c r="C90" t="s">
        <v>330</v>
      </c>
      <c r="D90" t="s">
        <v>754</v>
      </c>
      <c r="E90" t="s">
        <v>490</v>
      </c>
      <c r="F90" t="s">
        <v>725</v>
      </c>
      <c r="G90" t="s">
        <v>91</v>
      </c>
      <c r="H90" t="s">
        <v>560</v>
      </c>
      <c r="I90" t="s">
        <v>712</v>
      </c>
    </row>
    <row r="91" spans="1:9" x14ac:dyDescent="0.2">
      <c r="A91" t="s">
        <v>180</v>
      </c>
      <c r="B91">
        <v>2196301</v>
      </c>
      <c r="C91" t="s">
        <v>331</v>
      </c>
      <c r="D91" t="s">
        <v>754</v>
      </c>
      <c r="E91" t="s">
        <v>491</v>
      </c>
      <c r="F91" t="s">
        <v>46</v>
      </c>
      <c r="G91" t="s">
        <v>92</v>
      </c>
      <c r="H91" t="s">
        <v>560</v>
      </c>
      <c r="I91" t="s">
        <v>18</v>
      </c>
    </row>
    <row r="92" spans="1:9" x14ac:dyDescent="0.2">
      <c r="A92" t="s">
        <v>181</v>
      </c>
      <c r="B92">
        <v>2010081</v>
      </c>
      <c r="C92" t="s">
        <v>332</v>
      </c>
      <c r="D92" t="s">
        <v>754</v>
      </c>
      <c r="E92" t="s">
        <v>492</v>
      </c>
      <c r="F92" t="s">
        <v>739</v>
      </c>
      <c r="G92" t="s">
        <v>93</v>
      </c>
      <c r="H92" t="s">
        <v>559</v>
      </c>
      <c r="I92" t="s">
        <v>17</v>
      </c>
    </row>
    <row r="93" spans="1:9" x14ac:dyDescent="0.2">
      <c r="A93" t="s">
        <v>182</v>
      </c>
      <c r="B93">
        <v>2291997</v>
      </c>
      <c r="C93" t="s">
        <v>333</v>
      </c>
      <c r="D93" t="s">
        <v>754</v>
      </c>
      <c r="E93" t="s">
        <v>493</v>
      </c>
      <c r="F93" t="s">
        <v>31</v>
      </c>
      <c r="G93" t="s">
        <v>87</v>
      </c>
      <c r="H93" t="s">
        <v>560</v>
      </c>
      <c r="I93" t="s">
        <v>16</v>
      </c>
    </row>
    <row r="94" spans="1:9" x14ac:dyDescent="0.2">
      <c r="A94" t="s">
        <v>183</v>
      </c>
      <c r="B94">
        <v>861222</v>
      </c>
      <c r="C94" t="s">
        <v>334</v>
      </c>
      <c r="D94" t="s">
        <v>780</v>
      </c>
      <c r="E94" t="s">
        <v>494</v>
      </c>
      <c r="F94" t="s">
        <v>400</v>
      </c>
      <c r="G94" t="s">
        <v>83</v>
      </c>
      <c r="H94" t="s">
        <v>560</v>
      </c>
      <c r="I94" t="s">
        <v>18</v>
      </c>
    </row>
    <row r="95" spans="1:9" x14ac:dyDescent="0.2">
      <c r="A95" t="s">
        <v>184</v>
      </c>
      <c r="B95">
        <v>509021</v>
      </c>
      <c r="C95" t="s">
        <v>335</v>
      </c>
      <c r="D95" t="s">
        <v>765</v>
      </c>
      <c r="E95" t="s">
        <v>495</v>
      </c>
      <c r="F95" t="s">
        <v>56</v>
      </c>
      <c r="G95" t="s">
        <v>82</v>
      </c>
      <c r="H95" t="s">
        <v>559</v>
      </c>
      <c r="I95" t="s">
        <v>15</v>
      </c>
    </row>
    <row r="96" spans="1:9" x14ac:dyDescent="0.2">
      <c r="A96" t="s">
        <v>185</v>
      </c>
      <c r="B96">
        <v>2325875</v>
      </c>
      <c r="C96" t="s">
        <v>336</v>
      </c>
      <c r="D96" t="s">
        <v>754</v>
      </c>
      <c r="E96" t="s">
        <v>496</v>
      </c>
      <c r="F96" t="s">
        <v>39</v>
      </c>
      <c r="G96" t="s">
        <v>82</v>
      </c>
      <c r="H96" t="s">
        <v>559</v>
      </c>
      <c r="I96" t="str">
        <f>VLOOKUP(B96,'[1]2. Disminución'!$A:$J,9,0)</f>
        <v>Cliente decidió dejar de trabajar el formato schop</v>
      </c>
    </row>
    <row r="97" spans="1:9" x14ac:dyDescent="0.2">
      <c r="A97" t="s">
        <v>186</v>
      </c>
      <c r="B97">
        <v>800975</v>
      </c>
      <c r="C97" t="s">
        <v>337</v>
      </c>
      <c r="D97" t="s">
        <v>754</v>
      </c>
      <c r="E97" t="s">
        <v>497</v>
      </c>
      <c r="F97" t="s">
        <v>41</v>
      </c>
      <c r="G97" t="s">
        <v>83</v>
      </c>
      <c r="H97" t="s">
        <v>559</v>
      </c>
      <c r="I97" t="s">
        <v>715</v>
      </c>
    </row>
    <row r="98" spans="1:9" x14ac:dyDescent="0.2">
      <c r="A98" t="s">
        <v>187</v>
      </c>
      <c r="B98">
        <v>2439025</v>
      </c>
      <c r="C98" t="s">
        <v>338</v>
      </c>
      <c r="D98" t="s">
        <v>754</v>
      </c>
      <c r="E98" t="s">
        <v>498</v>
      </c>
      <c r="F98" t="s">
        <v>40</v>
      </c>
      <c r="G98" t="s">
        <v>83</v>
      </c>
      <c r="H98" t="s">
        <v>559</v>
      </c>
      <c r="I98" t="s">
        <v>20</v>
      </c>
    </row>
    <row r="99" spans="1:9" x14ac:dyDescent="0.2">
      <c r="A99" t="s">
        <v>188</v>
      </c>
      <c r="B99">
        <v>2157102</v>
      </c>
      <c r="C99" t="s">
        <v>339</v>
      </c>
      <c r="D99" t="s">
        <v>754</v>
      </c>
      <c r="E99" t="s">
        <v>499</v>
      </c>
      <c r="F99" t="s">
        <v>40</v>
      </c>
      <c r="G99" t="s">
        <v>83</v>
      </c>
      <c r="H99" t="s">
        <v>559</v>
      </c>
      <c r="I99" t="str">
        <f>VLOOKUP(B99,'[1]2. Disminución'!$A:$J,9,0)</f>
        <v>Cliente con término de giro, se retiró 100% de activos</v>
      </c>
    </row>
    <row r="100" spans="1:9" x14ac:dyDescent="0.2">
      <c r="A100" t="s">
        <v>189</v>
      </c>
      <c r="B100">
        <v>503583</v>
      </c>
      <c r="C100" t="s">
        <v>340</v>
      </c>
      <c r="D100" t="s">
        <v>754</v>
      </c>
      <c r="E100" t="s">
        <v>500</v>
      </c>
      <c r="F100" t="s">
        <v>730</v>
      </c>
      <c r="G100" t="s">
        <v>84</v>
      </c>
      <c r="H100" t="s">
        <v>559</v>
      </c>
      <c r="I100" t="s">
        <v>15</v>
      </c>
    </row>
    <row r="101" spans="1:9" x14ac:dyDescent="0.2">
      <c r="A101" t="s">
        <v>190</v>
      </c>
      <c r="B101">
        <v>816201</v>
      </c>
      <c r="C101" t="s">
        <v>341</v>
      </c>
      <c r="D101" t="s">
        <v>754</v>
      </c>
      <c r="E101" t="s">
        <v>501</v>
      </c>
      <c r="F101" t="s">
        <v>34</v>
      </c>
      <c r="G101" t="s">
        <v>81</v>
      </c>
      <c r="H101" t="s">
        <v>559</v>
      </c>
      <c r="I101" t="s">
        <v>18</v>
      </c>
    </row>
    <row r="102" spans="1:9" x14ac:dyDescent="0.2">
      <c r="A102" t="s">
        <v>191</v>
      </c>
      <c r="B102">
        <v>2155770</v>
      </c>
      <c r="C102" t="s">
        <v>342</v>
      </c>
      <c r="D102" t="s">
        <v>754</v>
      </c>
      <c r="E102" t="s">
        <v>502</v>
      </c>
      <c r="F102" t="s">
        <v>740</v>
      </c>
      <c r="G102" t="s">
        <v>81</v>
      </c>
      <c r="H102" t="s">
        <v>559</v>
      </c>
      <c r="I102" t="s">
        <v>18</v>
      </c>
    </row>
    <row r="103" spans="1:9" x14ac:dyDescent="0.2">
      <c r="A103" t="s">
        <v>192</v>
      </c>
      <c r="B103">
        <v>1360083</v>
      </c>
      <c r="C103" t="s">
        <v>343</v>
      </c>
      <c r="D103" t="s">
        <v>754</v>
      </c>
      <c r="E103" t="s">
        <v>503</v>
      </c>
      <c r="F103" t="s">
        <v>37</v>
      </c>
      <c r="G103" t="s">
        <v>81</v>
      </c>
      <c r="H103" t="s">
        <v>559</v>
      </c>
      <c r="I103" t="s">
        <v>15</v>
      </c>
    </row>
    <row r="104" spans="1:9" x14ac:dyDescent="0.2">
      <c r="A104" t="s">
        <v>193</v>
      </c>
      <c r="B104">
        <v>2265560</v>
      </c>
      <c r="C104" t="s">
        <v>344</v>
      </c>
      <c r="D104" t="s">
        <v>754</v>
      </c>
      <c r="E104" t="s">
        <v>504</v>
      </c>
      <c r="F104" t="s">
        <v>34</v>
      </c>
      <c r="G104" t="s">
        <v>81</v>
      </c>
      <c r="H104" t="s">
        <v>559</v>
      </c>
      <c r="I104" t="s">
        <v>18</v>
      </c>
    </row>
    <row r="105" spans="1:9" x14ac:dyDescent="0.2">
      <c r="A105" t="s">
        <v>194</v>
      </c>
      <c r="B105">
        <v>2195376</v>
      </c>
      <c r="C105" t="s">
        <v>345</v>
      </c>
      <c r="D105" t="s">
        <v>754</v>
      </c>
      <c r="E105" t="s">
        <v>505</v>
      </c>
      <c r="F105" t="s">
        <v>51</v>
      </c>
      <c r="G105" t="s">
        <v>81</v>
      </c>
      <c r="H105" t="s">
        <v>559</v>
      </c>
      <c r="I105" t="s">
        <v>15</v>
      </c>
    </row>
    <row r="106" spans="1:9" x14ac:dyDescent="0.2">
      <c r="A106" t="s">
        <v>195</v>
      </c>
      <c r="B106">
        <v>799942</v>
      </c>
      <c r="C106" t="s">
        <v>346</v>
      </c>
      <c r="D106" t="s">
        <v>754</v>
      </c>
      <c r="E106" t="s">
        <v>506</v>
      </c>
      <c r="F106" t="s">
        <v>51</v>
      </c>
      <c r="G106" t="s">
        <v>81</v>
      </c>
      <c r="H106" t="s">
        <v>559</v>
      </c>
      <c r="I106" t="s">
        <v>15</v>
      </c>
    </row>
    <row r="107" spans="1:9" x14ac:dyDescent="0.2">
      <c r="A107" t="s">
        <v>9</v>
      </c>
      <c r="B107">
        <v>676835</v>
      </c>
      <c r="C107" t="s">
        <v>347</v>
      </c>
      <c r="D107" t="s">
        <v>781</v>
      </c>
      <c r="E107" t="s">
        <v>507</v>
      </c>
      <c r="F107" t="s">
        <v>35</v>
      </c>
      <c r="G107" t="s">
        <v>81</v>
      </c>
      <c r="H107" t="s">
        <v>559</v>
      </c>
      <c r="I107" t="s">
        <v>16</v>
      </c>
    </row>
    <row r="108" spans="1:9" x14ac:dyDescent="0.2">
      <c r="A108" t="s">
        <v>196</v>
      </c>
      <c r="B108">
        <v>677760</v>
      </c>
      <c r="C108" t="s">
        <v>348</v>
      </c>
      <c r="D108" t="s">
        <v>782</v>
      </c>
      <c r="E108" t="s">
        <v>508</v>
      </c>
      <c r="F108" t="s">
        <v>741</v>
      </c>
      <c r="G108" t="s">
        <v>81</v>
      </c>
      <c r="H108" t="s">
        <v>559</v>
      </c>
      <c r="I108" t="s">
        <v>24</v>
      </c>
    </row>
    <row r="109" spans="1:9" x14ac:dyDescent="0.2">
      <c r="A109" t="s">
        <v>197</v>
      </c>
      <c r="B109">
        <v>672499</v>
      </c>
      <c r="C109" t="s">
        <v>349</v>
      </c>
      <c r="D109" t="s">
        <v>754</v>
      </c>
      <c r="E109" t="s">
        <v>509</v>
      </c>
      <c r="F109" t="s">
        <v>33</v>
      </c>
      <c r="G109" t="s">
        <v>81</v>
      </c>
      <c r="H109" t="s">
        <v>559</v>
      </c>
      <c r="I109" t="s">
        <v>15</v>
      </c>
    </row>
    <row r="110" spans="1:9" x14ac:dyDescent="0.2">
      <c r="A110" t="s">
        <v>198</v>
      </c>
      <c r="B110">
        <v>788771</v>
      </c>
      <c r="C110" t="s">
        <v>350</v>
      </c>
      <c r="D110" t="s">
        <v>754</v>
      </c>
      <c r="E110" t="s">
        <v>510</v>
      </c>
      <c r="F110" t="s">
        <v>33</v>
      </c>
      <c r="G110" t="s">
        <v>81</v>
      </c>
      <c r="H110" t="s">
        <v>559</v>
      </c>
      <c r="I110" t="s">
        <v>18</v>
      </c>
    </row>
    <row r="111" spans="1:9" x14ac:dyDescent="0.2">
      <c r="A111" t="s">
        <v>199</v>
      </c>
      <c r="B111">
        <v>2112235</v>
      </c>
      <c r="C111" t="s">
        <v>351</v>
      </c>
      <c r="D111" t="s">
        <v>783</v>
      </c>
      <c r="E111" t="s">
        <v>511</v>
      </c>
      <c r="F111" t="s">
        <v>34</v>
      </c>
      <c r="G111" t="s">
        <v>81</v>
      </c>
      <c r="H111" t="s">
        <v>559</v>
      </c>
      <c r="I111" t="s">
        <v>21</v>
      </c>
    </row>
    <row r="112" spans="1:9" x14ac:dyDescent="0.2">
      <c r="A112" t="s">
        <v>200</v>
      </c>
      <c r="B112">
        <v>2304440</v>
      </c>
      <c r="C112" t="s">
        <v>352</v>
      </c>
      <c r="D112" t="s">
        <v>754</v>
      </c>
      <c r="E112" t="s">
        <v>512</v>
      </c>
      <c r="F112" t="s">
        <v>401</v>
      </c>
      <c r="G112" t="s">
        <v>81</v>
      </c>
      <c r="H112" t="s">
        <v>559</v>
      </c>
      <c r="I112" t="s">
        <v>20</v>
      </c>
    </row>
    <row r="113" spans="1:9" x14ac:dyDescent="0.2">
      <c r="A113" t="s">
        <v>201</v>
      </c>
      <c r="B113">
        <v>2106296</v>
      </c>
      <c r="C113" t="s">
        <v>353</v>
      </c>
      <c r="D113" t="s">
        <v>754</v>
      </c>
      <c r="E113" t="s">
        <v>513</v>
      </c>
      <c r="F113" t="s">
        <v>34</v>
      </c>
      <c r="G113" t="s">
        <v>81</v>
      </c>
      <c r="H113" t="s">
        <v>559</v>
      </c>
      <c r="I113" t="s">
        <v>15</v>
      </c>
    </row>
    <row r="114" spans="1:9" x14ac:dyDescent="0.2">
      <c r="A114" t="s">
        <v>202</v>
      </c>
      <c r="B114">
        <v>673744</v>
      </c>
      <c r="C114" t="s">
        <v>354</v>
      </c>
      <c r="D114" t="s">
        <v>754</v>
      </c>
      <c r="E114" t="s">
        <v>514</v>
      </c>
      <c r="F114" t="s">
        <v>34</v>
      </c>
      <c r="G114" t="s">
        <v>81</v>
      </c>
      <c r="H114" t="s">
        <v>559</v>
      </c>
      <c r="I114" t="s">
        <v>18</v>
      </c>
    </row>
    <row r="115" spans="1:9" x14ac:dyDescent="0.2">
      <c r="A115" t="s">
        <v>203</v>
      </c>
      <c r="B115">
        <v>2413198</v>
      </c>
      <c r="C115" t="s">
        <v>355</v>
      </c>
      <c r="D115" t="s">
        <v>754</v>
      </c>
      <c r="E115" t="s">
        <v>515</v>
      </c>
      <c r="F115" t="s">
        <v>53</v>
      </c>
      <c r="G115" t="s">
        <v>81</v>
      </c>
      <c r="H115" t="s">
        <v>559</v>
      </c>
      <c r="I115" t="s">
        <v>15</v>
      </c>
    </row>
    <row r="116" spans="1:9" x14ac:dyDescent="0.2">
      <c r="A116" t="s">
        <v>204</v>
      </c>
      <c r="B116">
        <v>1701805</v>
      </c>
      <c r="C116" t="s">
        <v>356</v>
      </c>
      <c r="D116" t="s">
        <v>754</v>
      </c>
      <c r="E116" t="s">
        <v>516</v>
      </c>
      <c r="F116" t="s">
        <v>742</v>
      </c>
      <c r="G116" t="s">
        <v>81</v>
      </c>
      <c r="H116" t="s">
        <v>559</v>
      </c>
      <c r="I116" t="s">
        <v>16</v>
      </c>
    </row>
    <row r="117" spans="1:9" x14ac:dyDescent="0.2">
      <c r="A117" t="s">
        <v>205</v>
      </c>
      <c r="B117">
        <v>678189</v>
      </c>
      <c r="C117" t="s">
        <v>357</v>
      </c>
      <c r="D117" t="s">
        <v>754</v>
      </c>
      <c r="E117" t="s">
        <v>517</v>
      </c>
      <c r="F117" t="s">
        <v>34</v>
      </c>
      <c r="G117" t="s">
        <v>81</v>
      </c>
      <c r="H117" t="s">
        <v>559</v>
      </c>
      <c r="I117" t="s">
        <v>18</v>
      </c>
    </row>
    <row r="118" spans="1:9" x14ac:dyDescent="0.2">
      <c r="A118" t="s">
        <v>206</v>
      </c>
      <c r="B118">
        <v>2015118</v>
      </c>
      <c r="C118" t="s">
        <v>358</v>
      </c>
      <c r="D118" t="s">
        <v>754</v>
      </c>
      <c r="E118" t="s">
        <v>518</v>
      </c>
      <c r="F118" t="s">
        <v>720</v>
      </c>
      <c r="G118" t="s">
        <v>81</v>
      </c>
      <c r="H118" t="s">
        <v>559</v>
      </c>
      <c r="I118" t="s">
        <v>15</v>
      </c>
    </row>
    <row r="119" spans="1:9" x14ac:dyDescent="0.2">
      <c r="A119" t="s">
        <v>207</v>
      </c>
      <c r="B119">
        <v>670509</v>
      </c>
      <c r="C119" t="s">
        <v>359</v>
      </c>
      <c r="D119" t="s">
        <v>784</v>
      </c>
      <c r="E119" t="s">
        <v>519</v>
      </c>
      <c r="F119" t="s">
        <v>34</v>
      </c>
      <c r="G119" t="s">
        <v>81</v>
      </c>
      <c r="H119" t="s">
        <v>559</v>
      </c>
      <c r="I119" t="str">
        <f>VLOOKUP(B119,'[1]2. Disminución'!$A:$J,9,0)</f>
        <v>Cliente instaló maquina propia y/o de la competencia y solicitó retiro de las nuestras</v>
      </c>
    </row>
    <row r="120" spans="1:9" x14ac:dyDescent="0.2">
      <c r="A120" t="s">
        <v>208</v>
      </c>
      <c r="B120">
        <v>2237262</v>
      </c>
      <c r="C120" t="s">
        <v>360</v>
      </c>
      <c r="D120" t="s">
        <v>785</v>
      </c>
      <c r="E120" t="s">
        <v>520</v>
      </c>
      <c r="F120" t="s">
        <v>61</v>
      </c>
      <c r="G120" t="s">
        <v>85</v>
      </c>
      <c r="H120" t="s">
        <v>559</v>
      </c>
      <c r="I120" t="s">
        <v>16</v>
      </c>
    </row>
    <row r="121" spans="1:9" x14ac:dyDescent="0.2">
      <c r="A121" t="s">
        <v>209</v>
      </c>
      <c r="B121">
        <v>2330247</v>
      </c>
      <c r="C121" t="s">
        <v>361</v>
      </c>
      <c r="D121" t="s">
        <v>786</v>
      </c>
      <c r="E121" t="s">
        <v>521</v>
      </c>
      <c r="F121" t="s">
        <v>61</v>
      </c>
      <c r="G121" t="s">
        <v>85</v>
      </c>
      <c r="H121" t="s">
        <v>559</v>
      </c>
      <c r="I121" t="str">
        <f>VLOOKUP(B121,'[1]2. Disminución'!$A:$J,9,0)</f>
        <v>Cliente con término de giro, se retiró 100% de activos</v>
      </c>
    </row>
    <row r="122" spans="1:9" x14ac:dyDescent="0.2">
      <c r="A122" t="s">
        <v>210</v>
      </c>
      <c r="B122">
        <v>2390634</v>
      </c>
      <c r="C122" t="s">
        <v>362</v>
      </c>
      <c r="D122" t="s">
        <v>754</v>
      </c>
      <c r="E122" t="s">
        <v>522</v>
      </c>
      <c r="F122" t="s">
        <v>42</v>
      </c>
      <c r="G122" t="s">
        <v>85</v>
      </c>
      <c r="H122" t="s">
        <v>559</v>
      </c>
      <c r="I122" t="s">
        <v>713</v>
      </c>
    </row>
    <row r="123" spans="1:9" x14ac:dyDescent="0.2">
      <c r="A123" t="s">
        <v>211</v>
      </c>
      <c r="B123">
        <v>559957</v>
      </c>
      <c r="C123" t="s">
        <v>363</v>
      </c>
      <c r="D123" t="s">
        <v>754</v>
      </c>
      <c r="E123" t="s">
        <v>523</v>
      </c>
      <c r="F123" t="s">
        <v>743</v>
      </c>
      <c r="G123" t="s">
        <v>85</v>
      </c>
      <c r="H123" t="s">
        <v>559</v>
      </c>
      <c r="I123" t="s">
        <v>15</v>
      </c>
    </row>
    <row r="124" spans="1:9" x14ac:dyDescent="0.2">
      <c r="A124" t="s">
        <v>212</v>
      </c>
      <c r="B124">
        <v>2356230</v>
      </c>
      <c r="C124" t="s">
        <v>364</v>
      </c>
      <c r="D124" t="s">
        <v>754</v>
      </c>
      <c r="E124" t="s">
        <v>524</v>
      </c>
      <c r="F124" t="s">
        <v>59</v>
      </c>
      <c r="G124" t="s">
        <v>85</v>
      </c>
      <c r="H124" t="s">
        <v>559</v>
      </c>
      <c r="I124" t="s">
        <v>15</v>
      </c>
    </row>
    <row r="125" spans="1:9" x14ac:dyDescent="0.2">
      <c r="A125" t="s">
        <v>213</v>
      </c>
      <c r="B125">
        <v>2221042</v>
      </c>
      <c r="C125" t="s">
        <v>365</v>
      </c>
      <c r="D125" t="s">
        <v>754</v>
      </c>
      <c r="E125" t="s">
        <v>525</v>
      </c>
      <c r="F125" t="s">
        <v>60</v>
      </c>
      <c r="G125" t="s">
        <v>85</v>
      </c>
      <c r="H125" t="s">
        <v>559</v>
      </c>
      <c r="I125" t="s">
        <v>18</v>
      </c>
    </row>
    <row r="126" spans="1:9" x14ac:dyDescent="0.2">
      <c r="A126" t="s">
        <v>214</v>
      </c>
      <c r="B126">
        <v>548721</v>
      </c>
      <c r="C126" t="s">
        <v>366</v>
      </c>
      <c r="D126" t="s">
        <v>787</v>
      </c>
      <c r="E126" t="s">
        <v>526</v>
      </c>
      <c r="F126" t="s">
        <v>62</v>
      </c>
      <c r="G126" t="s">
        <v>86</v>
      </c>
      <c r="H126" t="s">
        <v>559</v>
      </c>
      <c r="I126" t="s">
        <v>15</v>
      </c>
    </row>
    <row r="127" spans="1:9" x14ac:dyDescent="0.2">
      <c r="A127" t="s">
        <v>215</v>
      </c>
      <c r="B127">
        <v>1375663</v>
      </c>
      <c r="C127" t="s">
        <v>367</v>
      </c>
      <c r="D127" t="s">
        <v>788</v>
      </c>
      <c r="E127" t="s">
        <v>527</v>
      </c>
      <c r="F127" t="s">
        <v>62</v>
      </c>
      <c r="G127" t="s">
        <v>86</v>
      </c>
      <c r="H127" t="s">
        <v>559</v>
      </c>
      <c r="I127" t="s">
        <v>15</v>
      </c>
    </row>
    <row r="128" spans="1:9" x14ac:dyDescent="0.2">
      <c r="A128" t="s">
        <v>216</v>
      </c>
      <c r="B128">
        <v>2117631</v>
      </c>
      <c r="C128" t="s">
        <v>368</v>
      </c>
      <c r="D128" t="s">
        <v>754</v>
      </c>
      <c r="E128" t="s">
        <v>528</v>
      </c>
      <c r="F128" t="s">
        <v>744</v>
      </c>
      <c r="G128" t="s">
        <v>88</v>
      </c>
      <c r="H128" t="s">
        <v>559</v>
      </c>
      <c r="I128" t="s">
        <v>15</v>
      </c>
    </row>
    <row r="129" spans="1:9" x14ac:dyDescent="0.2">
      <c r="A129" t="s">
        <v>217</v>
      </c>
      <c r="B129">
        <v>1682045</v>
      </c>
      <c r="C129" t="s">
        <v>369</v>
      </c>
      <c r="D129" t="s">
        <v>789</v>
      </c>
      <c r="E129" t="s">
        <v>529</v>
      </c>
      <c r="F129" t="s">
        <v>62</v>
      </c>
      <c r="G129" t="s">
        <v>86</v>
      </c>
      <c r="H129" t="s">
        <v>559</v>
      </c>
      <c r="I129" t="s">
        <v>19</v>
      </c>
    </row>
    <row r="130" spans="1:9" x14ac:dyDescent="0.2">
      <c r="A130" t="s">
        <v>218</v>
      </c>
      <c r="B130">
        <v>1478559</v>
      </c>
      <c r="C130" t="s">
        <v>370</v>
      </c>
      <c r="D130" t="s">
        <v>765</v>
      </c>
      <c r="E130" t="s">
        <v>530</v>
      </c>
      <c r="F130" t="s">
        <v>63</v>
      </c>
      <c r="G130" t="s">
        <v>87</v>
      </c>
      <c r="H130" t="s">
        <v>559</v>
      </c>
      <c r="I130" t="s">
        <v>16</v>
      </c>
    </row>
    <row r="131" spans="1:9" x14ac:dyDescent="0.2">
      <c r="A131" t="s">
        <v>219</v>
      </c>
      <c r="B131">
        <v>2202328</v>
      </c>
      <c r="C131" t="s">
        <v>371</v>
      </c>
      <c r="D131" t="s">
        <v>754</v>
      </c>
      <c r="E131" t="s">
        <v>531</v>
      </c>
      <c r="F131" t="s">
        <v>44</v>
      </c>
      <c r="G131" t="s">
        <v>90</v>
      </c>
      <c r="H131" t="s">
        <v>559</v>
      </c>
      <c r="I131" t="s">
        <v>16</v>
      </c>
    </row>
    <row r="132" spans="1:9" x14ac:dyDescent="0.2">
      <c r="A132" t="s">
        <v>220</v>
      </c>
      <c r="B132">
        <v>2123590</v>
      </c>
      <c r="C132" t="s">
        <v>372</v>
      </c>
      <c r="D132" t="s">
        <v>790</v>
      </c>
      <c r="E132" t="s">
        <v>532</v>
      </c>
      <c r="F132" t="s">
        <v>44</v>
      </c>
      <c r="G132" t="s">
        <v>90</v>
      </c>
      <c r="H132" t="s">
        <v>559</v>
      </c>
      <c r="I132" t="s">
        <v>16</v>
      </c>
    </row>
    <row r="133" spans="1:9" x14ac:dyDescent="0.2">
      <c r="A133" t="s">
        <v>221</v>
      </c>
      <c r="B133">
        <v>574184</v>
      </c>
      <c r="C133" t="s">
        <v>373</v>
      </c>
      <c r="D133" t="s">
        <v>791</v>
      </c>
      <c r="E133" t="s">
        <v>533</v>
      </c>
      <c r="F133" t="s">
        <v>65</v>
      </c>
      <c r="G133" t="s">
        <v>88</v>
      </c>
      <c r="H133" t="s">
        <v>559</v>
      </c>
      <c r="I133" t="s">
        <v>717</v>
      </c>
    </row>
    <row r="134" spans="1:9" x14ac:dyDescent="0.2">
      <c r="A134" t="s">
        <v>222</v>
      </c>
      <c r="B134">
        <v>569863</v>
      </c>
      <c r="C134" t="s">
        <v>374</v>
      </c>
      <c r="D134" t="s">
        <v>792</v>
      </c>
      <c r="E134" t="s">
        <v>534</v>
      </c>
      <c r="F134" t="s">
        <v>44</v>
      </c>
      <c r="G134" t="s">
        <v>90</v>
      </c>
      <c r="H134" t="s">
        <v>559</v>
      </c>
      <c r="I134" t="s">
        <v>714</v>
      </c>
    </row>
    <row r="135" spans="1:9" x14ac:dyDescent="0.2">
      <c r="A135" t="s">
        <v>223</v>
      </c>
      <c r="B135">
        <v>2384346</v>
      </c>
      <c r="C135" t="s">
        <v>375</v>
      </c>
      <c r="D135" t="s">
        <v>754</v>
      </c>
      <c r="E135" t="s">
        <v>535</v>
      </c>
      <c r="F135" t="s">
        <v>745</v>
      </c>
      <c r="G135" t="s">
        <v>88</v>
      </c>
      <c r="H135" t="s">
        <v>559</v>
      </c>
      <c r="I135" t="s">
        <v>20</v>
      </c>
    </row>
    <row r="136" spans="1:9" x14ac:dyDescent="0.2">
      <c r="A136" t="s">
        <v>224</v>
      </c>
      <c r="B136">
        <v>2341862</v>
      </c>
      <c r="C136" t="s">
        <v>376</v>
      </c>
      <c r="D136" t="s">
        <v>754</v>
      </c>
      <c r="E136" t="s">
        <v>536</v>
      </c>
      <c r="F136" t="s">
        <v>48</v>
      </c>
      <c r="G136" t="s">
        <v>89</v>
      </c>
      <c r="H136" t="s">
        <v>559</v>
      </c>
      <c r="I136" t="s">
        <v>15</v>
      </c>
    </row>
    <row r="137" spans="1:9" x14ac:dyDescent="0.2">
      <c r="A137" t="s">
        <v>225</v>
      </c>
      <c r="B137">
        <v>589172</v>
      </c>
      <c r="C137" t="s">
        <v>377</v>
      </c>
      <c r="D137" t="s">
        <v>754</v>
      </c>
      <c r="E137" t="s">
        <v>537</v>
      </c>
      <c r="F137" t="s">
        <v>48</v>
      </c>
      <c r="G137" t="s">
        <v>89</v>
      </c>
      <c r="H137" t="s">
        <v>559</v>
      </c>
      <c r="I137" t="s">
        <v>15</v>
      </c>
    </row>
    <row r="138" spans="1:9" x14ac:dyDescent="0.2">
      <c r="A138" t="s">
        <v>226</v>
      </c>
      <c r="B138">
        <v>2205300</v>
      </c>
      <c r="C138" t="s">
        <v>378</v>
      </c>
      <c r="D138" t="s">
        <v>754</v>
      </c>
      <c r="E138" t="s">
        <v>538</v>
      </c>
      <c r="F138" t="s">
        <v>47</v>
      </c>
      <c r="G138" t="s">
        <v>89</v>
      </c>
      <c r="H138" t="s">
        <v>559</v>
      </c>
      <c r="I138" t="s">
        <v>715</v>
      </c>
    </row>
    <row r="139" spans="1:9" x14ac:dyDescent="0.2">
      <c r="A139" t="s">
        <v>227</v>
      </c>
      <c r="B139">
        <v>744837</v>
      </c>
      <c r="C139" t="s">
        <v>379</v>
      </c>
      <c r="D139" t="s">
        <v>754</v>
      </c>
      <c r="E139" t="s">
        <v>539</v>
      </c>
      <c r="F139" t="s">
        <v>68</v>
      </c>
      <c r="G139" t="s">
        <v>89</v>
      </c>
      <c r="H139" t="s">
        <v>559</v>
      </c>
      <c r="I139" t="s">
        <v>717</v>
      </c>
    </row>
    <row r="140" spans="1:9" x14ac:dyDescent="0.2">
      <c r="A140" t="s">
        <v>228</v>
      </c>
      <c r="B140">
        <v>550293</v>
      </c>
      <c r="C140" t="s">
        <v>380</v>
      </c>
      <c r="D140" t="s">
        <v>754</v>
      </c>
      <c r="E140" t="s">
        <v>540</v>
      </c>
      <c r="F140" t="s">
        <v>746</v>
      </c>
      <c r="G140" t="s">
        <v>753</v>
      </c>
      <c r="H140" t="s">
        <v>559</v>
      </c>
      <c r="I140" t="s">
        <v>15</v>
      </c>
    </row>
    <row r="141" spans="1:9" x14ac:dyDescent="0.2">
      <c r="A141" t="s">
        <v>229</v>
      </c>
      <c r="B141">
        <v>1598366</v>
      </c>
      <c r="C141" t="s">
        <v>381</v>
      </c>
      <c r="D141" t="s">
        <v>754</v>
      </c>
      <c r="E141" t="s">
        <v>541</v>
      </c>
      <c r="F141" t="s">
        <v>67</v>
      </c>
      <c r="G141" t="s">
        <v>89</v>
      </c>
      <c r="H141" t="s">
        <v>559</v>
      </c>
      <c r="I141" t="s">
        <v>15</v>
      </c>
    </row>
    <row r="142" spans="1:9" x14ac:dyDescent="0.2">
      <c r="A142" t="s">
        <v>230</v>
      </c>
      <c r="B142">
        <v>2247646</v>
      </c>
      <c r="C142" t="s">
        <v>382</v>
      </c>
      <c r="D142" t="s">
        <v>754</v>
      </c>
      <c r="E142" t="s">
        <v>542</v>
      </c>
      <c r="F142" t="s">
        <v>71</v>
      </c>
      <c r="G142" t="s">
        <v>91</v>
      </c>
      <c r="H142" t="s">
        <v>559</v>
      </c>
      <c r="I142" t="s">
        <v>15</v>
      </c>
    </row>
    <row r="143" spans="1:9" x14ac:dyDescent="0.2">
      <c r="A143" t="s">
        <v>231</v>
      </c>
      <c r="B143">
        <v>755657</v>
      </c>
      <c r="C143" t="s">
        <v>383</v>
      </c>
      <c r="D143" t="s">
        <v>793</v>
      </c>
      <c r="E143" t="s">
        <v>543</v>
      </c>
      <c r="F143" t="s">
        <v>71</v>
      </c>
      <c r="G143" t="s">
        <v>91</v>
      </c>
      <c r="H143" t="s">
        <v>559</v>
      </c>
      <c r="I143" t="s">
        <v>712</v>
      </c>
    </row>
    <row r="144" spans="1:9" x14ac:dyDescent="0.2">
      <c r="A144" t="s">
        <v>14</v>
      </c>
      <c r="B144">
        <v>896693</v>
      </c>
      <c r="C144" t="s">
        <v>384</v>
      </c>
      <c r="D144" t="s">
        <v>801</v>
      </c>
      <c r="E144" t="s">
        <v>544</v>
      </c>
      <c r="F144" t="s">
        <v>29</v>
      </c>
      <c r="G144" t="s">
        <v>91</v>
      </c>
      <c r="H144" t="s">
        <v>559</v>
      </c>
      <c r="I144" t="str">
        <f>VLOOKUP(B144,'[1]2. Disminución'!$A:$J,9,0)</f>
        <v>Cliente con término de giro, se retiró 100% de activos</v>
      </c>
    </row>
    <row r="145" spans="1:9" x14ac:dyDescent="0.2">
      <c r="A145" t="s">
        <v>232</v>
      </c>
      <c r="B145">
        <v>514289</v>
      </c>
      <c r="C145" t="s">
        <v>385</v>
      </c>
      <c r="D145" t="s">
        <v>754</v>
      </c>
      <c r="E145" t="s">
        <v>545</v>
      </c>
      <c r="F145" t="s">
        <v>73</v>
      </c>
      <c r="G145" t="s">
        <v>92</v>
      </c>
      <c r="H145" t="s">
        <v>559</v>
      </c>
      <c r="I145" t="s">
        <v>15</v>
      </c>
    </row>
    <row r="146" spans="1:9" x14ac:dyDescent="0.2">
      <c r="A146" t="s">
        <v>233</v>
      </c>
      <c r="B146">
        <v>991016</v>
      </c>
      <c r="C146" t="s">
        <v>386</v>
      </c>
      <c r="D146" t="s">
        <v>754</v>
      </c>
      <c r="E146" t="s">
        <v>546</v>
      </c>
      <c r="F146" t="s">
        <v>46</v>
      </c>
      <c r="G146" t="s">
        <v>92</v>
      </c>
      <c r="H146" t="s">
        <v>559</v>
      </c>
      <c r="I146" t="s">
        <v>21</v>
      </c>
    </row>
    <row r="147" spans="1:9" x14ac:dyDescent="0.2">
      <c r="A147" t="s">
        <v>234</v>
      </c>
      <c r="B147">
        <v>2213897</v>
      </c>
      <c r="C147" t="s">
        <v>387</v>
      </c>
      <c r="D147" t="s">
        <v>794</v>
      </c>
      <c r="E147" t="s">
        <v>547</v>
      </c>
      <c r="F147" t="s">
        <v>73</v>
      </c>
      <c r="G147" t="s">
        <v>92</v>
      </c>
      <c r="H147" t="s">
        <v>559</v>
      </c>
      <c r="I147" t="s">
        <v>716</v>
      </c>
    </row>
    <row r="148" spans="1:9" x14ac:dyDescent="0.2">
      <c r="A148" t="s">
        <v>235</v>
      </c>
      <c r="B148">
        <v>2441153</v>
      </c>
      <c r="C148" t="s">
        <v>388</v>
      </c>
      <c r="D148" t="s">
        <v>754</v>
      </c>
      <c r="E148" t="s">
        <v>548</v>
      </c>
      <c r="F148" t="s">
        <v>747</v>
      </c>
      <c r="G148" t="s">
        <v>92</v>
      </c>
      <c r="H148" t="s">
        <v>559</v>
      </c>
      <c r="I148" t="s">
        <v>15</v>
      </c>
    </row>
    <row r="149" spans="1:9" x14ac:dyDescent="0.2">
      <c r="A149" t="s">
        <v>236</v>
      </c>
      <c r="B149">
        <v>596876</v>
      </c>
      <c r="C149" t="s">
        <v>389</v>
      </c>
      <c r="D149" t="s">
        <v>754</v>
      </c>
      <c r="E149" t="s">
        <v>549</v>
      </c>
      <c r="F149" t="s">
        <v>30</v>
      </c>
      <c r="G149" t="s">
        <v>93</v>
      </c>
      <c r="H149" t="s">
        <v>559</v>
      </c>
      <c r="I149" t="str">
        <f>VLOOKUP(B149,'[1]2. Disminución'!$A:$J,9,0)</f>
        <v>Cliente decidió dejar de trabajar con CCU</v>
      </c>
    </row>
    <row r="150" spans="1:9" x14ac:dyDescent="0.2">
      <c r="A150" t="s">
        <v>237</v>
      </c>
      <c r="B150">
        <v>2141982</v>
      </c>
      <c r="C150" t="s">
        <v>390</v>
      </c>
      <c r="D150" t="s">
        <v>754</v>
      </c>
      <c r="E150" t="s">
        <v>550</v>
      </c>
      <c r="F150" t="s">
        <v>726</v>
      </c>
      <c r="G150" t="s">
        <v>87</v>
      </c>
      <c r="H150" t="s">
        <v>559</v>
      </c>
      <c r="I150" t="s">
        <v>15</v>
      </c>
    </row>
    <row r="151" spans="1:9" x14ac:dyDescent="0.2">
      <c r="A151" t="s">
        <v>238</v>
      </c>
      <c r="B151">
        <v>2135767</v>
      </c>
      <c r="C151" t="s">
        <v>391</v>
      </c>
      <c r="D151" t="s">
        <v>754</v>
      </c>
      <c r="E151" t="s">
        <v>551</v>
      </c>
      <c r="F151" t="s">
        <v>748</v>
      </c>
      <c r="G151" t="s">
        <v>87</v>
      </c>
      <c r="H151" t="s">
        <v>559</v>
      </c>
      <c r="I151" t="s">
        <v>16</v>
      </c>
    </row>
    <row r="152" spans="1:9" x14ac:dyDescent="0.2">
      <c r="A152" t="s">
        <v>239</v>
      </c>
      <c r="B152">
        <v>2111391</v>
      </c>
      <c r="C152" t="s">
        <v>392</v>
      </c>
      <c r="D152" t="s">
        <v>795</v>
      </c>
      <c r="E152" t="s">
        <v>552</v>
      </c>
      <c r="F152" t="s">
        <v>31</v>
      </c>
      <c r="G152" t="s">
        <v>87</v>
      </c>
      <c r="H152" t="s">
        <v>559</v>
      </c>
      <c r="I152" t="s">
        <v>16</v>
      </c>
    </row>
    <row r="153" spans="1:9" x14ac:dyDescent="0.2">
      <c r="A153" t="s">
        <v>240</v>
      </c>
      <c r="B153">
        <v>814322</v>
      </c>
      <c r="C153" t="s">
        <v>393</v>
      </c>
      <c r="D153" t="s">
        <v>754</v>
      </c>
      <c r="E153" t="s">
        <v>553</v>
      </c>
      <c r="F153" t="s">
        <v>31</v>
      </c>
      <c r="G153" t="s">
        <v>87</v>
      </c>
      <c r="H153" t="s">
        <v>559</v>
      </c>
      <c r="I153" t="s">
        <v>15</v>
      </c>
    </row>
    <row r="154" spans="1:9" x14ac:dyDescent="0.2">
      <c r="A154" t="s">
        <v>241</v>
      </c>
      <c r="B154">
        <v>2389293</v>
      </c>
      <c r="C154" t="s">
        <v>394</v>
      </c>
      <c r="D154" t="s">
        <v>754</v>
      </c>
      <c r="E154" t="s">
        <v>554</v>
      </c>
      <c r="F154" t="s">
        <v>76</v>
      </c>
      <c r="G154" t="s">
        <v>91</v>
      </c>
      <c r="H154" t="s">
        <v>559</v>
      </c>
      <c r="I154" t="str">
        <f>VLOOKUP(B154,'[1]2. Disminución'!$A:$J,9,0)</f>
        <v>Cliente con término de giro, se retiró 100% de activos</v>
      </c>
    </row>
    <row r="155" spans="1:9" x14ac:dyDescent="0.2">
      <c r="A155" t="s">
        <v>242</v>
      </c>
      <c r="B155">
        <v>1367118</v>
      </c>
      <c r="C155" t="s">
        <v>395</v>
      </c>
      <c r="D155" t="s">
        <v>754</v>
      </c>
      <c r="E155" t="s">
        <v>555</v>
      </c>
      <c r="F155" t="s">
        <v>749</v>
      </c>
      <c r="G155" t="s">
        <v>91</v>
      </c>
      <c r="H155" t="s">
        <v>559</v>
      </c>
      <c r="I155" t="s">
        <v>15</v>
      </c>
    </row>
    <row r="156" spans="1:9" x14ac:dyDescent="0.2">
      <c r="A156" t="s">
        <v>243</v>
      </c>
      <c r="B156">
        <v>1658615</v>
      </c>
      <c r="C156" t="s">
        <v>396</v>
      </c>
      <c r="D156" t="s">
        <v>754</v>
      </c>
      <c r="E156" t="s">
        <v>556</v>
      </c>
      <c r="F156" t="s">
        <v>48</v>
      </c>
      <c r="G156" t="s">
        <v>89</v>
      </c>
      <c r="H156" t="s">
        <v>560</v>
      </c>
      <c r="I156" t="s">
        <v>16</v>
      </c>
    </row>
    <row r="157" spans="1:9" x14ac:dyDescent="0.2">
      <c r="A157" t="s">
        <v>244</v>
      </c>
      <c r="B157">
        <v>2419175</v>
      </c>
      <c r="C157" t="s">
        <v>397</v>
      </c>
      <c r="D157" t="s">
        <v>802</v>
      </c>
      <c r="E157" t="s">
        <v>557</v>
      </c>
      <c r="F157" t="s">
        <v>75</v>
      </c>
      <c r="G157" t="s">
        <v>93</v>
      </c>
      <c r="H157" t="s">
        <v>560</v>
      </c>
      <c r="I157" t="s">
        <v>16</v>
      </c>
    </row>
    <row r="158" spans="1:9" x14ac:dyDescent="0.2">
      <c r="A158" t="s">
        <v>587</v>
      </c>
      <c r="B158">
        <v>582207</v>
      </c>
      <c r="C158" t="s">
        <v>635</v>
      </c>
      <c r="D158" t="s">
        <v>754</v>
      </c>
      <c r="E158" t="s">
        <v>684</v>
      </c>
      <c r="F158" t="s">
        <v>47</v>
      </c>
      <c r="G158" t="s">
        <v>89</v>
      </c>
      <c r="H158" t="s">
        <v>560</v>
      </c>
      <c r="I158" t="s">
        <v>18</v>
      </c>
    </row>
    <row r="159" spans="1:9" x14ac:dyDescent="0.2">
      <c r="A159" t="s">
        <v>564</v>
      </c>
      <c r="B159">
        <v>2260332</v>
      </c>
      <c r="C159" t="s">
        <v>612</v>
      </c>
      <c r="D159" t="s">
        <v>796</v>
      </c>
      <c r="E159" t="s">
        <v>660</v>
      </c>
      <c r="F159" t="s">
        <v>41</v>
      </c>
      <c r="G159" t="s">
        <v>83</v>
      </c>
      <c r="H159" t="s">
        <v>560</v>
      </c>
      <c r="I159" t="s">
        <v>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F39994-5F65-441D-B528-F664F4C0FF19}">
          <x14:formula1>
            <xm:f>'/Users/pilar/Documents/CCU/revision completa 1 septiembre2025/C:\Users\jsimond\Downloads\[Seguimiento Continuo FNE (6).xlsx]Lista'!#REF!</xm:f>
          </x14:formula1>
          <xm:sqref>I147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Modificación</vt:lpstr>
      <vt:lpstr>Término de 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2025-09-11T14:47:56Z</dcterms:modified>
</cp:coreProperties>
</file>